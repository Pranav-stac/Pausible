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uraj\Projects\Pausibl\Plan\"/>
    </mc:Choice>
  </mc:AlternateContent>
  <xr:revisionPtr revIDLastSave="0" documentId="13_ncr:1_{8F5837DD-7954-4D80-BF85-0C502087838D}" xr6:coauthVersionLast="47" xr6:coauthVersionMax="47" xr10:uidLastSave="{00000000-0000-0000-0000-000000000000}"/>
  <bookViews>
    <workbookView xWindow="-110" yWindow="-110" windowWidth="19420" windowHeight="11500" firstSheet="1" activeTab="2" xr2:uid="{00000000-000D-0000-FFFF-FFFF00000000}"/>
  </bookViews>
  <sheets>
    <sheet name="Factor list" sheetId="1" state="hidden" r:id="rId1"/>
    <sheet name="Questionnaire" sheetId="2" r:id="rId2"/>
    <sheet name="Assessment Engine" sheetId="3" r:id="rId3"/>
    <sheet name="Centroids" sheetId="4" r:id="rId4"/>
    <sheet name="Tech plan" sheetId="5" r:id="rId5"/>
  </sheets>
  <definedNames>
    <definedName name="_xlnm._FilterDatabase" localSheetId="1" hidden="1">Questionnaire!$A$1:$D$91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28" i="3" l="1"/>
  <c r="Q127" i="3"/>
  <c r="Q126" i="3"/>
  <c r="Q125" i="3"/>
  <c r="Q124" i="3"/>
  <c r="P122" i="3"/>
  <c r="P121" i="3"/>
  <c r="P120" i="3"/>
  <c r="P119" i="3"/>
  <c r="P118" i="3"/>
  <c r="Q7" i="4"/>
  <c r="N7" i="4"/>
  <c r="M7" i="4"/>
  <c r="E7" i="4"/>
  <c r="Q6" i="4"/>
  <c r="N6" i="4"/>
  <c r="M6" i="4"/>
  <c r="L6" i="4"/>
  <c r="E6" i="4"/>
  <c r="P7" i="4" s="1"/>
  <c r="Q5" i="4"/>
  <c r="P5" i="4"/>
  <c r="O5" i="4"/>
  <c r="N5" i="4"/>
  <c r="E5" i="4"/>
  <c r="L7" i="4" s="1"/>
  <c r="N4" i="4"/>
  <c r="M4" i="4"/>
  <c r="L4" i="4"/>
  <c r="E4" i="4"/>
  <c r="M5" i="4" s="1"/>
  <c r="Q3" i="4"/>
  <c r="N3" i="4"/>
  <c r="M3" i="4"/>
  <c r="L3" i="4"/>
  <c r="E3" i="4"/>
  <c r="F39" i="1"/>
  <c r="C91" i="3"/>
  <c r="C90" i="3"/>
  <c r="N89" i="3"/>
  <c r="C89" i="3"/>
  <c r="C88" i="3"/>
  <c r="C87" i="3"/>
  <c r="N86" i="3"/>
  <c r="C86" i="3"/>
  <c r="C85" i="3"/>
  <c r="C84" i="3"/>
  <c r="N83" i="3"/>
  <c r="C83" i="3"/>
  <c r="C82" i="3"/>
  <c r="C81" i="3"/>
  <c r="N80" i="3"/>
  <c r="C80" i="3"/>
  <c r="C79" i="3"/>
  <c r="C78" i="3"/>
  <c r="N77" i="3"/>
  <c r="C77" i="3"/>
  <c r="C76" i="3"/>
  <c r="C75" i="3"/>
  <c r="N74" i="3"/>
  <c r="C74" i="3"/>
  <c r="C73" i="3"/>
  <c r="C72" i="3"/>
  <c r="N71" i="3"/>
  <c r="C71" i="3"/>
  <c r="C70" i="3"/>
  <c r="C69" i="3"/>
  <c r="N68" i="3"/>
  <c r="C68" i="3"/>
  <c r="C67" i="3"/>
  <c r="C66" i="3"/>
  <c r="N65" i="3"/>
  <c r="C65" i="3"/>
  <c r="C64" i="3"/>
  <c r="C63" i="3"/>
  <c r="N62" i="3"/>
  <c r="C62" i="3"/>
  <c r="C61" i="3"/>
  <c r="C60" i="3"/>
  <c r="N59" i="3"/>
  <c r="C59" i="3"/>
  <c r="C58" i="3"/>
  <c r="C57" i="3"/>
  <c r="N56" i="3"/>
  <c r="C56" i="3"/>
  <c r="C55" i="3"/>
  <c r="C54" i="3"/>
  <c r="N53" i="3"/>
  <c r="C53" i="3"/>
  <c r="C52" i="3"/>
  <c r="C51" i="3"/>
  <c r="N50" i="3"/>
  <c r="C50" i="3"/>
  <c r="C49" i="3"/>
  <c r="C48" i="3"/>
  <c r="N47" i="3"/>
  <c r="C47" i="3"/>
  <c r="C46" i="3"/>
  <c r="C45" i="3"/>
  <c r="N44" i="3"/>
  <c r="C44" i="3"/>
  <c r="C43" i="3"/>
  <c r="C42" i="3"/>
  <c r="N41" i="3"/>
  <c r="C41" i="3"/>
  <c r="C40" i="3"/>
  <c r="C39" i="3"/>
  <c r="N38" i="3"/>
  <c r="C38" i="3"/>
  <c r="C37" i="3"/>
  <c r="C36" i="3"/>
  <c r="N35" i="3"/>
  <c r="C35" i="3"/>
  <c r="C34" i="3"/>
  <c r="C33" i="3"/>
  <c r="N32" i="3"/>
  <c r="C32" i="3"/>
  <c r="C31" i="3"/>
  <c r="C30" i="3"/>
  <c r="N29" i="3"/>
  <c r="C29" i="3"/>
  <c r="C28" i="3"/>
  <c r="C27" i="3"/>
  <c r="N26" i="3"/>
  <c r="C26" i="3"/>
  <c r="C25" i="3"/>
  <c r="C24" i="3"/>
  <c r="N23" i="3"/>
  <c r="C23" i="3"/>
  <c r="C22" i="3"/>
  <c r="C21" i="3"/>
  <c r="N20" i="3"/>
  <c r="C20" i="3"/>
  <c r="C19" i="3"/>
  <c r="C18" i="3"/>
  <c r="N17" i="3"/>
  <c r="C17" i="3"/>
  <c r="C16" i="3"/>
  <c r="C15" i="3"/>
  <c r="N14" i="3"/>
  <c r="C14" i="3"/>
  <c r="C13" i="3"/>
  <c r="C12" i="3"/>
  <c r="N11" i="3"/>
  <c r="C11" i="3"/>
  <c r="C10" i="3"/>
  <c r="C9" i="3"/>
  <c r="N8" i="3"/>
  <c r="C8" i="3"/>
  <c r="C7" i="3"/>
  <c r="C6" i="3"/>
  <c r="N5" i="3"/>
  <c r="C5" i="3"/>
  <c r="C4" i="3"/>
  <c r="C3" i="3"/>
  <c r="O2" i="3"/>
  <c r="R2" i="3" s="1"/>
  <c r="N2" i="3"/>
  <c r="C2" i="3"/>
  <c r="O20" i="3" l="1"/>
  <c r="R20" i="3" s="1"/>
  <c r="O56" i="3"/>
  <c r="O38" i="3"/>
  <c r="P38" i="3" s="1"/>
  <c r="O74" i="3"/>
  <c r="T2" i="3"/>
  <c r="O6" i="4"/>
  <c r="O7" i="4"/>
  <c r="Q4" i="4"/>
  <c r="P2" i="3"/>
  <c r="P6" i="4"/>
  <c r="O4" i="4"/>
  <c r="S2" i="3"/>
  <c r="U2" i="3"/>
  <c r="O3" i="4"/>
  <c r="P3" i="4"/>
  <c r="P4" i="4"/>
  <c r="L5" i="4"/>
  <c r="Q2" i="3"/>
  <c r="S74" i="3" l="1"/>
  <c r="S38" i="3"/>
  <c r="Q92" i="3"/>
  <c r="Q99" i="3" s="1"/>
  <c r="T38" i="3"/>
  <c r="U38" i="3"/>
  <c r="Q38" i="3"/>
  <c r="R38" i="3"/>
  <c r="Q56" i="3"/>
  <c r="P56" i="3"/>
  <c r="T56" i="3"/>
  <c r="U56" i="3"/>
  <c r="R56" i="3"/>
  <c r="S56" i="3"/>
  <c r="Q20" i="3"/>
  <c r="S20" i="3"/>
  <c r="S92" i="3" s="1"/>
  <c r="S99" i="3" s="1"/>
  <c r="U20" i="3"/>
  <c r="U92" i="3" s="1"/>
  <c r="U99" i="3" s="1"/>
  <c r="P20" i="3"/>
  <c r="P92" i="3" s="1"/>
  <c r="P74" i="3"/>
  <c r="T20" i="3"/>
  <c r="T92" i="3" s="1"/>
  <c r="Q74" i="3"/>
  <c r="R74" i="3"/>
  <c r="U74" i="3"/>
  <c r="T74" i="3"/>
  <c r="P105" i="3" l="1"/>
  <c r="T99" i="3"/>
  <c r="P106" i="3" s="1"/>
  <c r="P109" i="3"/>
  <c r="P108" i="3"/>
  <c r="P99" i="3"/>
  <c r="P94" i="3"/>
  <c r="Q94" i="3"/>
  <c r="R92" i="3"/>
  <c r="T94" i="3"/>
  <c r="S94" i="3"/>
  <c r="U94" i="3"/>
  <c r="R99" i="3" l="1"/>
  <c r="R94" i="3"/>
  <c r="T95" i="3" s="1"/>
  <c r="Q95" i="3"/>
  <c r="S95" i="3"/>
  <c r="R95" i="3" l="1"/>
  <c r="P95" i="3"/>
  <c r="U95" i="3"/>
</calcChain>
</file>

<file path=xl/sharedStrings.xml><?xml version="1.0" encoding="utf-8"?>
<sst xmlns="http://schemas.openxmlformats.org/spreadsheetml/2006/main" count="812" uniqueCount="367">
  <si>
    <t>S.No.</t>
  </si>
  <si>
    <t>Traits</t>
  </si>
  <si>
    <t>Facet ID</t>
  </si>
  <si>
    <t>Facet</t>
  </si>
  <si>
    <t>Q.ID</t>
  </si>
  <si>
    <t>Option A</t>
  </si>
  <si>
    <t>Option B</t>
  </si>
  <si>
    <t>Option C</t>
  </si>
  <si>
    <t>Option D</t>
  </si>
  <si>
    <t>Option E</t>
  </si>
  <si>
    <t>Option F</t>
  </si>
  <si>
    <t>Option G</t>
  </si>
  <si>
    <t>Response</t>
  </si>
  <si>
    <t>Facet Avg</t>
  </si>
  <si>
    <t>Trait Avg</t>
  </si>
  <si>
    <t>Steady Elephant</t>
  </si>
  <si>
    <t>Pack Wolf</t>
  </si>
  <si>
    <t>Watchful Deer</t>
  </si>
  <si>
    <t>Curious Fox</t>
  </si>
  <si>
    <t>Steadfast Bear</t>
  </si>
  <si>
    <t>Shielded Turtle</t>
  </si>
  <si>
    <t>Openness</t>
  </si>
  <si>
    <t>Nutritional Curiosity</t>
  </si>
  <si>
    <t>O-NC-1</t>
  </si>
  <si>
    <t>O-NC-2</t>
  </si>
  <si>
    <t>O-NC-3</t>
  </si>
  <si>
    <t>Exercise Exploration</t>
  </si>
  <si>
    <t>O-EE-1</t>
  </si>
  <si>
    <t>O-EE-2</t>
  </si>
  <si>
    <t>O-EE-3</t>
  </si>
  <si>
    <t>Recovery Exploration</t>
  </si>
  <si>
    <t>O-RE-1</t>
  </si>
  <si>
    <t>O-RE-2</t>
  </si>
  <si>
    <t>O-RE-3</t>
  </si>
  <si>
    <t>Mind-Body Exploration</t>
  </si>
  <si>
    <t>O-ME-1</t>
  </si>
  <si>
    <t>O-ME-2</t>
  </si>
  <si>
    <t>O-ME-3</t>
  </si>
  <si>
    <t>Wellness Learning Orientation</t>
  </si>
  <si>
    <t>O-WL-1</t>
  </si>
  <si>
    <t>O-WL-2</t>
  </si>
  <si>
    <t>O-WL-3</t>
  </si>
  <si>
    <t>Wellness Adaptability</t>
  </si>
  <si>
    <t>O-WA-1</t>
  </si>
  <si>
    <t>O-WA-2</t>
  </si>
  <si>
    <t>O-WA-3</t>
  </si>
  <si>
    <t>Conscientiousness</t>
  </si>
  <si>
    <t>Meal Planning Discipline</t>
  </si>
  <si>
    <t>C-MP-1</t>
  </si>
  <si>
    <t>C-MP-2</t>
  </si>
  <si>
    <t>C-MP-3</t>
  </si>
  <si>
    <t>Workout Adherence</t>
  </si>
  <si>
    <t>C-WA-1</t>
  </si>
  <si>
    <t>C-WA-2</t>
  </si>
  <si>
    <t>C-WA-3</t>
  </si>
  <si>
    <t>Sleep Routine Consistency</t>
  </si>
  <si>
    <t>C-SR-1</t>
  </si>
  <si>
    <t>C-SR-2</t>
  </si>
  <si>
    <t>C-SR-3</t>
  </si>
  <si>
    <t>Progress Tracking</t>
  </si>
  <si>
    <t>C-PT-1</t>
  </si>
  <si>
    <t>C-PT-2</t>
  </si>
  <si>
    <t>C-PT-3</t>
  </si>
  <si>
    <t>Impulse Control</t>
  </si>
  <si>
    <t>C-IC-1</t>
  </si>
  <si>
    <t>C-IC-2</t>
  </si>
  <si>
    <t>C-IC-3</t>
  </si>
  <si>
    <t>Recovery Discipline</t>
  </si>
  <si>
    <t>C-RD-1</t>
  </si>
  <si>
    <t>C-RD-2</t>
  </si>
  <si>
    <t>C-RD-3</t>
  </si>
  <si>
    <t>Extraversion</t>
  </si>
  <si>
    <t>Social Workout Preference</t>
  </si>
  <si>
    <t>E-SW-1</t>
  </si>
  <si>
    <t>E-SW-2</t>
  </si>
  <si>
    <t>E-SW-3</t>
  </si>
  <si>
    <t>Wellness Sharing</t>
  </si>
  <si>
    <t>E-WS-1</t>
  </si>
  <si>
    <t>E-WS-2</t>
  </si>
  <si>
    <t>E-WS-3</t>
  </si>
  <si>
    <t>Healthy Competition</t>
  </si>
  <si>
    <t>E-HC-1</t>
  </si>
  <si>
    <t>E-HC-2</t>
  </si>
  <si>
    <t>E-HC-3</t>
  </si>
  <si>
    <t>Activity Energy</t>
  </si>
  <si>
    <t>E-AE-1</t>
  </si>
  <si>
    <t>E-AE-2</t>
  </si>
  <si>
    <t>E-AE-3</t>
  </si>
  <si>
    <t>Group Recovery Preference</t>
  </si>
  <si>
    <t>E-GR-1</t>
  </si>
  <si>
    <t>E-GR-2</t>
  </si>
  <si>
    <t>E-GR-3</t>
  </si>
  <si>
    <t>Positive Wellness Influence</t>
  </si>
  <si>
    <t>E-PW-1</t>
  </si>
  <si>
    <t>E-PW-2</t>
  </si>
  <si>
    <t>E-PW-3</t>
  </si>
  <si>
    <t>Agreeableness</t>
  </si>
  <si>
    <t>Nutrition Consideration</t>
  </si>
  <si>
    <t>A-NC-1</t>
  </si>
  <si>
    <t>A-NC-2</t>
  </si>
  <si>
    <t>A-NC-3</t>
  </si>
  <si>
    <t>Wellness Harmony</t>
  </si>
  <si>
    <t>A-WH-1</t>
  </si>
  <si>
    <t>A-WH-2</t>
  </si>
  <si>
    <t>A-WH-3</t>
  </si>
  <si>
    <t>Supportive Encouragement</t>
  </si>
  <si>
    <t>A-SE-1</t>
  </si>
  <si>
    <t>A-SE-2</t>
  </si>
  <si>
    <t>A-SE-3</t>
  </si>
  <si>
    <t>Respect for Guidance</t>
  </si>
  <si>
    <t>A-RG-1</t>
  </si>
  <si>
    <t>A-RG-2</t>
  </si>
  <si>
    <t>A-RG-3</t>
  </si>
  <si>
    <t>Cooperative Participation</t>
  </si>
  <si>
    <t>A-CP-1</t>
  </si>
  <si>
    <t>A-CP-2</t>
  </si>
  <si>
    <t>A-CP-3</t>
  </si>
  <si>
    <t>Shared Recovery Respect</t>
  </si>
  <si>
    <t>A-SR-1</t>
  </si>
  <si>
    <t>A-SR-2</t>
  </si>
  <si>
    <t>A-SR-3</t>
  </si>
  <si>
    <t>Neuroticism</t>
  </si>
  <si>
    <t>Health Anxiety Sensitivity</t>
  </si>
  <si>
    <t>N-HA-1</t>
  </si>
  <si>
    <t>N-HA-2</t>
  </si>
  <si>
    <t>N-HA-3</t>
  </si>
  <si>
    <t>Emotional Eating Response</t>
  </si>
  <si>
    <t>N-EE-1</t>
  </si>
  <si>
    <t>N-EE-2</t>
  </si>
  <si>
    <t>N-EE-3</t>
  </si>
  <si>
    <t>Stress Impact on Consistency</t>
  </si>
  <si>
    <t>N-SC-1</t>
  </si>
  <si>
    <t>N-SC-2</t>
  </si>
  <si>
    <t>N-SC-3</t>
  </si>
  <si>
    <t>Sleep Worry &amp; Mental Overload</t>
  </si>
  <si>
    <t>N-SW-1</t>
  </si>
  <si>
    <t>N-SW-2</t>
  </si>
  <si>
    <t>N-SW-3</t>
  </si>
  <si>
    <t>Wellness Stability</t>
  </si>
  <si>
    <t>N-WS-1</t>
  </si>
  <si>
    <t>N-WS-2</t>
  </si>
  <si>
    <t>N-WS-3</t>
  </si>
  <si>
    <t>Emotional Recovery Resilience</t>
  </si>
  <si>
    <t>N-ER-1</t>
  </si>
  <si>
    <t>N-ER-2</t>
  </si>
  <si>
    <t>N-ER-3</t>
  </si>
  <si>
    <t>DISTANCE (d)</t>
  </si>
  <si>
    <t>Alpha</t>
  </si>
  <si>
    <t>Si</t>
  </si>
  <si>
    <t>Percentage</t>
  </si>
  <si>
    <t>Max Inter-Centroid Distance (constant: Steady Elephant &lt;-&gt; Shielded Turtle)</t>
  </si>
  <si>
    <t>Fit Score (0-100)</t>
  </si>
  <si>
    <t>Fit Tier</t>
  </si>
  <si>
    <t>Core</t>
  </si>
  <si>
    <t>Adaptive</t>
  </si>
  <si>
    <t xml:space="preserve">  Classic: 75-100 | Core: 50-74 | Adaptive: 25-49 | Emerging: 0-24</t>
  </si>
  <si>
    <t>Primary Persona</t>
  </si>
  <si>
    <t>Primary Distance</t>
  </si>
  <si>
    <t>Primary Fit Score</t>
  </si>
  <si>
    <t>Secondary Persona</t>
  </si>
  <si>
    <t>Secondary Distance</t>
  </si>
  <si>
    <t>Blend Ratio (secondary / primary)</t>
  </si>
  <si>
    <t>Blend Strength</t>
  </si>
  <si>
    <t>Tendencies</t>
  </si>
  <si>
    <t xml:space="preserve">  Pure: &gt; 2.0 | Tendencies: 1.3-2.0 | Strong Influence: &lt; 1.3</t>
  </si>
  <si>
    <t>PERSONA TITLE</t>
  </si>
  <si>
    <t>Full Persona Title</t>
  </si>
  <si>
    <t>Core Steadfast Bear with Steady Elephant tendencies</t>
  </si>
  <si>
    <t>TRAIT DEVIATIONS FROM PRIMARY PERSONA CENTROID</t>
  </si>
  <si>
    <t>Trait</t>
  </si>
  <si>
    <t>User Score</t>
  </si>
  <si>
    <t>Centroid</t>
  </si>
  <si>
    <t>Deviation</t>
  </si>
  <si>
    <t>Notable?</t>
  </si>
  <si>
    <t>No</t>
  </si>
  <si>
    <t>Discipline</t>
  </si>
  <si>
    <t>YES</t>
  </si>
  <si>
    <t>Social Energy</t>
  </si>
  <si>
    <t>Stress Sensitivity</t>
  </si>
  <si>
    <t xml:space="preserve">  Only deviations &gt; 0.8 are surfaced in the report (max 2). These reveal meaningful behavioral differences from the typical persona.</t>
  </si>
  <si>
    <t>Factors</t>
  </si>
  <si>
    <t>SF#</t>
  </si>
  <si>
    <t>Sub-factors</t>
  </si>
  <si>
    <t>Intent</t>
  </si>
  <si>
    <t>Questions</t>
  </si>
  <si>
    <t>Physiological factors</t>
  </si>
  <si>
    <t>DoB</t>
  </si>
  <si>
    <t>Life stage</t>
  </si>
  <si>
    <t>Gender</t>
  </si>
  <si>
    <t>Body composition</t>
  </si>
  <si>
    <t>Genetics</t>
  </si>
  <si>
    <t>Metabolic rate and recovery</t>
  </si>
  <si>
    <t>Psychological factors</t>
  </si>
  <si>
    <t>Motivation type</t>
  </si>
  <si>
    <t>Mindset</t>
  </si>
  <si>
    <t>Self-efficacy</t>
  </si>
  <si>
    <t>Personality traits</t>
  </si>
  <si>
    <t>Emotional health &amp; stress resilience</t>
  </si>
  <si>
    <t>Behavioral factors</t>
  </si>
  <si>
    <t>Daily habits &amp; routines</t>
  </si>
  <si>
    <t>Past behaviour patterns</t>
  </si>
  <si>
    <t>Sleep hygiene</t>
  </si>
  <si>
    <t>Substance use</t>
  </si>
  <si>
    <t>Consistency &amp; adaptability</t>
  </si>
  <si>
    <t>Knowledge &amp; awareness</t>
  </si>
  <si>
    <t>Health literacy</t>
  </si>
  <si>
    <t>Nutrition knowledge</t>
  </si>
  <si>
    <t>Exercise knowledge</t>
  </si>
  <si>
    <t>Awareness of long-term benefits</t>
  </si>
  <si>
    <t>Susceptibility to misinformation</t>
  </si>
  <si>
    <t>Sociocultural factors</t>
  </si>
  <si>
    <t>Social support system</t>
  </si>
  <si>
    <t>Cultural norms</t>
  </si>
  <si>
    <t>Religious/spiritual beliefs</t>
  </si>
  <si>
    <t>Community &amp; Peer behaviour</t>
  </si>
  <si>
    <t>Socioeconomic status</t>
  </si>
  <si>
    <t>Living environment</t>
  </si>
  <si>
    <t>Technological engagement factors</t>
  </si>
  <si>
    <t>Use of fitness apps</t>
  </si>
  <si>
    <t>Wearble tech adoption</t>
  </si>
  <si>
    <t>Engagement in online communities</t>
  </si>
  <si>
    <t>Exposure to social media influencers</t>
  </si>
  <si>
    <t>Digital health literacy</t>
  </si>
  <si>
    <t>Occupational and lifestyle factors</t>
  </si>
  <si>
    <t>Job activity level</t>
  </si>
  <si>
    <t>Work hours &amp; flexibility</t>
  </si>
  <si>
    <t>workplace wellness culture</t>
  </si>
  <si>
    <t>occupational stress &amp; demands</t>
  </si>
  <si>
    <t>Category</t>
  </si>
  <si>
    <t>Question ID</t>
  </si>
  <si>
    <t>Revised Question</t>
  </si>
  <si>
    <t>Direct / Reverse Keyed</t>
  </si>
  <si>
    <t>I enjoy trying foods that I have never eaten before.</t>
  </si>
  <si>
    <t>Direct</t>
  </si>
  <si>
    <t>I am interested in trying healthy foods that are new to me, even if they are unfamiliar.</t>
  </si>
  <si>
    <t>I usually prefer familiar foods instead of trying different ones.</t>
  </si>
  <si>
    <t>Reverse</t>
  </si>
  <si>
    <t>I am willing to try a new type of physical activity if it looks interesting.</t>
  </si>
  <si>
    <t>I enjoy learning about different ways people stay physically active.</t>
  </si>
  <si>
    <t>I prefer sticking to activities I already know rather than trying new ones.</t>
  </si>
  <si>
    <t>I am curious about different ways people recover and recharge their bodies.</t>
  </si>
  <si>
    <t>I like learning about methods that may help people feel refreshed and recovered.</t>
  </si>
  <si>
    <t>I usually rely on the same recovery habits and rarely explore alternatives.</t>
  </si>
  <si>
    <t>I am interested in activities that help me understand my thoughts and feelings better.</t>
  </si>
  <si>
    <t>I'm curious about practices like breathing exercises or meditation that help calm the mind.</t>
  </si>
  <si>
    <t>I don't usually spend time thinking about how my mood or stress levels affect my health.</t>
  </si>
  <si>
    <t>I like learning about a health idea before deciding whether it is worth trying.</t>
  </si>
  <si>
    <t>I enjoy comparing information from different sources before making wellness decisions related to food, workout, recovery, etc.</t>
  </si>
  <si>
    <t>I usually accept health advice without trying to learn more about it.</t>
  </si>
  <si>
    <t>If I hear about a healthier way to do something, I'm happy to drop my old habit and try the new one.</t>
  </si>
  <si>
    <t>I tend to adjust my wellness routine when my circumstances change.</t>
  </si>
  <si>
    <t>Once I get used to a health routine, I prefer not to change it.</t>
  </si>
  <si>
    <t>Before I get hungry, I usually have an idea of what I'm going to eat.</t>
  </si>
  <si>
    <t>I find it easier to make healthy food choices when I plan in advance.</t>
  </si>
  <si>
    <t>When it's time to eat, I usually don't give it much thought and decide on the spot.</t>
  </si>
  <si>
    <t>If I decide to be active on a specific day, I usually usually do it even if I don't feel like it.</t>
  </si>
  <si>
    <t>Even during busy periods, physical activity remains a priority for me.</t>
  </si>
  <si>
    <t>I often skip planned physical activities or workouts for small reasons like feeling lazy or having other things to do.</t>
  </si>
  <si>
    <t>I prefer going to bed around the same time most days.</t>
  </si>
  <si>
    <t>Even if there's a late-night event or work deadline, I try not to sacrifice my sleep.</t>
  </si>
  <si>
    <t>My sleep timing varies a lot from day to day, depending on how I feel or what's happening.</t>
  </si>
  <si>
    <t>I like to track and see if my health habits have improved over a period of time.</t>
  </si>
  <si>
    <t>I often note down things like what I ate, how I slept, or how much I moved.</t>
  </si>
  <si>
    <t>I don't usually keep track of whether my health habits are getting better or worse.</t>
  </si>
  <si>
    <t>Before grabbing an unhealthy snack or skipping a workout, I usually stop and think about whether it's worth it.</t>
  </si>
  <si>
    <t>When choosing between a quick treat and something healthier, I usually think about how I'll feel later.</t>
  </si>
  <si>
    <t>When I get a craving for junk food or feel like skipping exercise, I usually give in without much thought.</t>
  </si>
  <si>
    <t>Rest &amp; recovery are just as important to me as staying active. After a tough workout or a long week, I make sure to give my body proper time to recover.</t>
  </si>
  <si>
    <t>I schedule rest days in advance, not just when I feel tired.</t>
  </si>
  <si>
    <t>Even when my body feels sore or tired, I push through instead of taking a break.</t>
  </si>
  <si>
    <t>Physical activities like walking, yoga, workout, etc. feel more fun when I have company.</t>
  </si>
  <si>
    <t>I'm more likely to show up for exercise if I've committed to doing it with someone else or in a group.</t>
  </si>
  <si>
    <t>I usually prefer doing physical activities completely on my own.</t>
  </si>
  <si>
    <t>When I try a new workout or healthy recipe, I like to tell people about it.</t>
  </si>
  <si>
    <t>If I come across an interesting health article or video, I often forward it to others.</t>
  </si>
  <si>
    <t>I don't usually talk about my health habits with anyone, even close friends or family.</t>
  </si>
  <si>
    <t>I enjoy challenges and push myself harder to keep up.</t>
  </si>
  <si>
    <t>I like fitness contests that show how I'm progressing compared to others.</t>
  </si>
  <si>
    <t>When it comes to wellness, competing with others does not motivate me at all.</t>
  </si>
  <si>
    <t>I feel best on days when I've been physically active and doing things rather than sitting around.</t>
  </si>
  <si>
    <t>If I've been sitting for a while, I look for a reason to get up and move — even a short walk or stretch.</t>
  </si>
  <si>
    <t>I am comfortable even if I haven't been active for most of the day.</t>
  </si>
  <si>
    <t>After a long day, I'd rather unwind by chatting with family or friends than sitting quietly alone.</t>
  </si>
  <si>
    <t>When I have free time, I'd rather spend it at a busy place like a park or café than stay home alone.</t>
  </si>
  <si>
    <t>I prefer recovering and relaxing completely by myself.</t>
  </si>
  <si>
    <t>I often bring up healthy habits in conversations, even when others haven't asked.</t>
  </si>
  <si>
    <t>When I discover something that works for my health, I feel excited to share it with others.</t>
  </si>
  <si>
    <t>I rarely show excitement about health or wellness activities.</t>
  </si>
  <si>
    <t>When deciding what to cook or order, I think about what others would enjoy eating.</t>
  </si>
  <si>
    <t>I am usually willing to adjust my food choices so everyone feels comfortable.</t>
  </si>
  <si>
    <t>When picking a meal, I usually go with what I feel like eating without checking with others.</t>
  </si>
  <si>
    <t>When I discuss or debate about health topics, I prefer keeping the conversation respectful.</t>
  </si>
  <si>
    <t>If someone disagrees with my knowledge or practices on wellness, I'd rather let it go than argue about it.</t>
  </si>
  <si>
    <t>When talking about health, I like to prove to others why my way is the right way.</t>
  </si>
  <si>
    <t>When someone is struggling with their health goals, I try to offer support and encouragement.</t>
  </si>
  <si>
    <t>When someone shares that they've lost weight or hit a fitness goal, I feel genuinely happy for them.</t>
  </si>
  <si>
    <t>I don’t usually notice other people's wellness efforts.</t>
  </si>
  <si>
    <t>If a friend or family member suggests a better way to eat or exercise, I'm happy to hear them out.</t>
  </si>
  <si>
    <t>I welcome suggestions about my wellness habits and routines, even if I haven't asked for it.</t>
  </si>
  <si>
    <t>I get annoyed when people give me health tips, even if they mean well.</t>
  </si>
  <si>
    <t>I find it more enjoyable to work on fitness goals when I have a partner or group to do it with.</t>
  </si>
  <si>
    <t>If my workout partner needs to go slower or faster, I'm happy to match their pace.</t>
  </si>
  <si>
    <t>Even when exercising with others, I like to follow my own plan rather than the group's.</t>
  </si>
  <si>
    <t>If someone at home is resting, I try to keep the noise down and avoid disturbing them.</t>
  </si>
  <si>
    <t>When a friend, family member or colleague says they need rest after a tiring day, I avoid asking them to do things until they've recovered.</t>
  </si>
  <si>
    <t>I often do my own thing without checking if it might disturb someone who is trying to rest.</t>
  </si>
  <si>
    <t>I quickly worry when I notice small changes in how my body feels.</t>
  </si>
  <si>
    <t>Reading about health issues or symptoms online often leaves me feeling worried.</t>
  </si>
  <si>
    <t>When I notice a small ache or unusual feeling in my body, I don't jump to conclusions and worry about it.</t>
  </si>
  <si>
    <t>When I'm feeling low, I often reach for food to feel better.</t>
  </si>
  <si>
    <t>On stressful days, I tend to eat more than usual or skip meals entirely.</t>
  </si>
  <si>
    <t>Whether I'm happy or upset, I usually eat the same kinds of foods.</t>
  </si>
  <si>
    <t>When life gets stressful, wellness becomes less important to me than other things.</t>
  </si>
  <si>
    <t>During stressful times, I lose the motivation to take care of my health.</t>
  </si>
  <si>
    <t>I can usually keep basic wellness habits going even when life feels stressful.</t>
  </si>
  <si>
    <t>Worrying thoughts often make it hard for me to sleep at night.</t>
  </si>
  <si>
    <t>After a mentally tiring day, I find it hard to switch off and fall asleep.</t>
  </si>
  <si>
    <t>During stressful periods, I can usually calm my mind enough to rest when I need to.</t>
  </si>
  <si>
    <t>I sometimes go from eating perfectly and exercising daily to completely letting go for days.</t>
  </si>
  <si>
    <t>One bad day can make me feel like my whole wellness routine has gone off track.</t>
  </si>
  <si>
    <t>My approach to wellness usually stays balanced even after a setback.</t>
  </si>
  <si>
    <t>After missing a workout or eating poorly, it takes me a while to stop feeling bad about it.</t>
  </si>
  <si>
    <t>When I skip a healthy routine I meant to follow, I tend to be hard on myself.</t>
  </si>
  <si>
    <t>After a bad day, I usually bounce back and get going again without much trouble.</t>
  </si>
  <si>
    <t>Weights</t>
  </si>
  <si>
    <t>Benchmark Centroids</t>
  </si>
  <si>
    <t>Weighted Centroids</t>
  </si>
  <si>
    <t>Base w</t>
  </si>
  <si>
    <t>Context tweak</t>
  </si>
  <si>
    <t>Final w</t>
  </si>
  <si>
    <t>Conscientousness</t>
  </si>
  <si>
    <t>Simple landing page</t>
  </si>
  <si>
    <t>Page with information about the tool</t>
  </si>
  <si>
    <t>User registration</t>
  </si>
  <si>
    <t>Email ID</t>
  </si>
  <si>
    <t>Login</t>
  </si>
  <si>
    <t>Native login + Social media login (Google, FB, Linkedin)</t>
  </si>
  <si>
    <t>Assessment questions (scroll mode)</t>
  </si>
  <si>
    <t>Auto-scrolling. Cant go to next question if current one unanswered.</t>
  </si>
  <si>
    <t>Auto save feature</t>
  </si>
  <si>
    <t>All responses must be saved and assessment can be continued later</t>
  </si>
  <si>
    <t>Summary Results page</t>
  </si>
  <si>
    <t>Pricing</t>
  </si>
  <si>
    <t>Share results option</t>
  </si>
  <si>
    <t>Should be shareable to Insta, FB, Twitter, Linkedin</t>
  </si>
  <si>
    <t>Examples web app</t>
  </si>
  <si>
    <t>Email/Whatsapp detailed report</t>
  </si>
  <si>
    <t>PDF format sent on mail/whatsapp</t>
  </si>
  <si>
    <t>Gift assessment</t>
  </si>
  <si>
    <t>Mail, whatsapp</t>
  </si>
  <si>
    <t>Payment gateway</t>
  </si>
  <si>
    <t>Payment with voucher option</t>
  </si>
  <si>
    <t>Responsive pages</t>
  </si>
  <si>
    <t>High speed and effects</t>
  </si>
  <si>
    <t>Great UI/UX</t>
  </si>
  <si>
    <t>Database</t>
  </si>
  <si>
    <t>Multi-table database</t>
  </si>
  <si>
    <t>Report extraction</t>
  </si>
  <si>
    <t>Data reporting layer - User table/Responses table/Persona table</t>
  </si>
  <si>
    <t>Admin page</t>
  </si>
  <si>
    <t>Facility to change centroids, weights, etc.</t>
  </si>
  <si>
    <t>Country recognition</t>
  </si>
  <si>
    <t>Currency must change depending on India vs other geographies. INR vs USD</t>
  </si>
  <si>
    <t>Business Cpanel</t>
  </si>
  <si>
    <t>Send assessment links
Store assessment results</t>
  </si>
  <si>
    <t>FIT SCORE ANALYSIS (FOR PRIMARY PERSONA)</t>
  </si>
  <si>
    <t>BLEND ANALYSIS (FOR SECONDARY PERSONA IMPACT)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</si>
</sst>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"/>
    <numFmt numFmtId="165" formatCode="0.0000"/>
    <numFmt numFmtId="166" formatCode="\+0.00;\-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2"/>
      <color rgb="FFFFFFFF"/>
      <name val="Calibri"/>
    </font>
    <font>
      <b/>
      <sz val="11"/>
      <color rgb="FFFFFFFF"/>
      <name val="Calibri"/>
    </font>
    <font>
      <b/>
      <sz val="11"/>
      <color rgb="FF1B4F72"/>
      <name val="Calibri"/>
    </font>
    <font>
      <b/>
      <sz val="11"/>
      <name val="Calibri"/>
    </font>
    <font>
      <sz val="11"/>
      <name val="Calibri"/>
    </font>
    <font>
      <b/>
      <sz val="11"/>
      <color rgb="FF7D6608"/>
      <name val="Calibri"/>
    </font>
    <font>
      <i/>
      <sz val="10"/>
      <color rgb="FF7F8C8D"/>
      <name val="Calibri"/>
    </font>
    <font>
      <b/>
      <sz val="12"/>
      <color rgb="FF196F3D"/>
      <name val="Calibri"/>
    </font>
    <font>
      <b/>
      <sz val="11"/>
      <color rgb="FF2E86C1"/>
      <name val="Calibri"/>
    </font>
    <font>
      <b/>
      <sz val="13"/>
      <color rgb="FF196F3D"/>
      <name val="Calibri"/>
    </font>
    <font>
      <b/>
      <sz val="10"/>
      <color rgb="FF1B4F72"/>
      <name val="Calibri"/>
    </font>
    <font>
      <b/>
      <sz val="10"/>
      <color rgb="FF922B21"/>
      <name val="Calibri"/>
    </font>
  </fonts>
  <fills count="2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3333"/>
        <bgColor rgb="FF333333"/>
      </patternFill>
    </fill>
    <fill>
      <patternFill patternType="solid">
        <fgColor rgb="FF1B4F72"/>
        <bgColor rgb="FF1B4F72"/>
      </patternFill>
    </fill>
    <fill>
      <patternFill patternType="solid">
        <fgColor rgb="FFD4E6F1"/>
        <bgColor rgb="FFD4E6F1"/>
      </patternFill>
    </fill>
    <fill>
      <patternFill patternType="solid">
        <fgColor rgb="FFFCF3CF"/>
        <bgColor rgb="FFFCF3CF"/>
      </patternFill>
    </fill>
    <fill>
      <patternFill patternType="solid">
        <fgColor rgb="FFD5F5E3"/>
        <bgColor rgb="FFD5F5E3"/>
      </patternFill>
    </fill>
    <fill>
      <patternFill patternType="solid">
        <fgColor rgb="FFFADBD8"/>
        <bgColor rgb="FFFADBD8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DC3C7"/>
      </left>
      <right/>
      <top style="thin">
        <color rgb="FFBDC3C7"/>
      </top>
      <bottom style="thin">
        <color rgb="FFBDC3C7"/>
      </bottom>
      <diagonal/>
    </border>
    <border>
      <left/>
      <right/>
      <top style="thin">
        <color rgb="FFBDC3C7"/>
      </top>
      <bottom style="thin">
        <color rgb="FFBDC3C7"/>
      </bottom>
      <diagonal/>
    </border>
    <border>
      <left/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3">
    <xf numFmtId="0" fontId="0" fillId="0" borderId="0"/>
    <xf numFmtId="43" fontId="1" fillId="0" borderId="0"/>
    <xf numFmtId="9" fontId="1" fillId="0" borderId="0"/>
  </cellStyleXfs>
  <cellXfs count="68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43" fontId="0" fillId="0" borderId="0" xfId="1" applyFont="1"/>
    <xf numFmtId="0" fontId="0" fillId="2" borderId="0" xfId="0" applyFill="1"/>
    <xf numFmtId="0" fontId="3" fillId="3" borderId="0" xfId="0" applyFont="1" applyFill="1" applyAlignment="1">
      <alignment horizontal="center"/>
    </xf>
    <xf numFmtId="0" fontId="3" fillId="3" borderId="0" xfId="0" applyFont="1" applyFill="1"/>
    <xf numFmtId="164" fontId="0" fillId="4" borderId="0" xfId="0" applyNumberFormat="1" applyFill="1"/>
    <xf numFmtId="10" fontId="3" fillId="0" borderId="0" xfId="2" applyNumberFormat="1" applyFont="1"/>
    <xf numFmtId="0" fontId="0" fillId="8" borderId="0" xfId="0" applyFill="1"/>
    <xf numFmtId="9" fontId="0" fillId="8" borderId="0" xfId="2" applyFont="1" applyFill="1"/>
    <xf numFmtId="2" fontId="0" fillId="8" borderId="0" xfId="0" applyNumberFormat="1" applyFill="1"/>
    <xf numFmtId="164" fontId="0" fillId="11" borderId="0" xfId="0" applyNumberFormat="1" applyFill="1"/>
    <xf numFmtId="0" fontId="0" fillId="0" borderId="0" xfId="0" applyAlignment="1">
      <alignment wrapText="1"/>
    </xf>
    <xf numFmtId="10" fontId="0" fillId="0" borderId="0" xfId="2" applyNumberFormat="1" applyFont="1"/>
    <xf numFmtId="0" fontId="3" fillId="7" borderId="0" xfId="0" applyFont="1" applyFill="1" applyAlignment="1">
      <alignment horizontal="center"/>
    </xf>
    <xf numFmtId="0" fontId="2" fillId="10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/>
    <xf numFmtId="0" fontId="3" fillId="2" borderId="0" xfId="0" applyFont="1" applyFill="1" applyAlignment="1">
      <alignment horizontal="center"/>
    </xf>
    <xf numFmtId="43" fontId="0" fillId="0" borderId="0" xfId="0" applyNumberFormat="1"/>
    <xf numFmtId="0" fontId="5" fillId="0" borderId="0" xfId="0" applyFont="1"/>
    <xf numFmtId="0" fontId="2" fillId="12" borderId="0" xfId="0" applyFont="1" applyFill="1" applyAlignment="1">
      <alignment horizontal="center"/>
    </xf>
    <xf numFmtId="9" fontId="0" fillId="0" borderId="0" xfId="2" applyFont="1"/>
    <xf numFmtId="10" fontId="0" fillId="0" borderId="0" xfId="0" applyNumberFormat="1"/>
    <xf numFmtId="9" fontId="3" fillId="3" borderId="0" xfId="2" applyFont="1" applyFill="1"/>
    <xf numFmtId="9" fontId="4" fillId="0" borderId="0" xfId="2" applyFont="1"/>
    <xf numFmtId="9" fontId="3" fillId="0" borderId="0" xfId="2" applyFont="1"/>
    <xf numFmtId="43" fontId="0" fillId="13" borderId="0" xfId="0" applyNumberFormat="1" applyFill="1"/>
    <xf numFmtId="0" fontId="6" fillId="14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2" fontId="0" fillId="0" borderId="0" xfId="0" applyNumberFormat="1"/>
    <xf numFmtId="164" fontId="10" fillId="0" borderId="2" xfId="0" applyNumberFormat="1" applyFont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11" fillId="17" borderId="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left" vertical="center"/>
    </xf>
    <xf numFmtId="0" fontId="0" fillId="16" borderId="2" xfId="0" applyFill="1" applyBorder="1"/>
    <xf numFmtId="0" fontId="16" fillId="16" borderId="2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0" fillId="0" borderId="2" xfId="0" applyBorder="1"/>
    <xf numFmtId="0" fontId="10" fillId="0" borderId="2" xfId="0" applyFont="1" applyBorder="1" applyAlignment="1">
      <alignment horizontal="left"/>
    </xf>
    <xf numFmtId="0" fontId="14" fillId="0" borderId="2" xfId="0" applyFont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165" fontId="9" fillId="0" borderId="2" xfId="0" applyNumberFormat="1" applyFont="1" applyBorder="1" applyAlignment="1">
      <alignment horizontal="center"/>
    </xf>
    <xf numFmtId="0" fontId="12" fillId="16" borderId="2" xfId="0" applyFont="1" applyFill="1" applyBorder="1" applyAlignment="1">
      <alignment horizontal="left" vertical="center"/>
    </xf>
    <xf numFmtId="164" fontId="13" fillId="18" borderId="2" xfId="0" applyNumberFormat="1" applyFont="1" applyFill="1" applyBorder="1" applyAlignment="1">
      <alignment horizontal="center"/>
    </xf>
    <xf numFmtId="0" fontId="0" fillId="18" borderId="2" xfId="0" applyFill="1" applyBorder="1"/>
    <xf numFmtId="165" fontId="10" fillId="0" borderId="2" xfId="0" applyNumberFormat="1" applyFont="1" applyBorder="1" applyAlignment="1">
      <alignment horizontal="center"/>
    </xf>
    <xf numFmtId="0" fontId="11" fillId="17" borderId="2" xfId="0" applyFont="1" applyFill="1" applyBorder="1" applyAlignment="1">
      <alignment horizontal="center"/>
    </xf>
    <xf numFmtId="0" fontId="0" fillId="17" borderId="2" xfId="0" applyFill="1" applyBorder="1"/>
    <xf numFmtId="0" fontId="13" fillId="18" borderId="2" xfId="0" applyFont="1" applyFill="1" applyBorder="1" applyAlignment="1">
      <alignment horizontal="center"/>
    </xf>
    <xf numFmtId="0" fontId="17" fillId="19" borderId="2" xfId="0" applyFont="1" applyFill="1" applyBorder="1" applyAlignment="1">
      <alignment horizontal="center"/>
    </xf>
    <xf numFmtId="0" fontId="0" fillId="19" borderId="2" xfId="0" applyFill="1" applyBorder="1"/>
    <xf numFmtId="2" fontId="9" fillId="0" borderId="2" xfId="0" applyNumberFormat="1" applyFont="1" applyBorder="1" applyAlignment="1">
      <alignment horizontal="center"/>
    </xf>
    <xf numFmtId="0" fontId="15" fillId="18" borderId="2" xfId="0" applyFont="1" applyFill="1" applyBorder="1" applyAlignment="1">
      <alignment horizontal="center"/>
    </xf>
    <xf numFmtId="0" fontId="2" fillId="9" borderId="0" xfId="0" applyFont="1" applyFill="1" applyAlignment="1">
      <alignment horizontal="center"/>
    </xf>
    <xf numFmtId="0" fontId="0" fillId="0" borderId="0" xfId="0"/>
    <xf numFmtId="0" fontId="3" fillId="6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7" fillId="15" borderId="2" xfId="0" applyFont="1" applyFill="1" applyBorder="1" applyAlignment="1">
      <alignment vertical="center"/>
    </xf>
    <xf numFmtId="0" fontId="0" fillId="15" borderId="2" xfId="0" applyFill="1" applyBorder="1" applyAlignment="1"/>
    <xf numFmtId="0" fontId="7" fillId="15" borderId="3" xfId="0" applyFont="1" applyFill="1" applyBorder="1" applyAlignment="1">
      <alignment vertical="center"/>
    </xf>
    <xf numFmtId="0" fontId="7" fillId="15" borderId="4" xfId="0" applyFont="1" applyFill="1" applyBorder="1" applyAlignment="1">
      <alignment vertical="center"/>
    </xf>
    <xf numFmtId="0" fontId="7" fillId="15" borderId="5" xfId="0" applyFont="1" applyFill="1" applyBorder="1" applyAlignment="1">
      <alignment vertical="center"/>
    </xf>
    <xf numFmtId="2" fontId="1" fillId="0" borderId="0" xfId="2" applyNumberFormat="1"/>
    <xf numFmtId="166" fontId="10" fillId="0" borderId="3" xfId="0" applyNumberFormat="1" applyFont="1" applyBorder="1" applyAlignment="1">
      <alignment horizontal="center"/>
    </xf>
    <xf numFmtId="166" fontId="10" fillId="0" borderId="4" xfId="0" applyNumberFormat="1" applyFont="1" applyBorder="1" applyAlignment="1">
      <alignment horizontal="center"/>
    </xf>
    <xf numFmtId="166" fontId="10" fillId="0" borderId="5" xfId="0" applyNumberFormat="1" applyFont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"/>
  <sheetViews>
    <sheetView topLeftCell="A21" workbookViewId="0">
      <selection activeCell="D28" sqref="D28"/>
    </sheetView>
  </sheetViews>
  <sheetFormatPr defaultRowHeight="14.5" x14ac:dyDescent="0.35"/>
  <cols>
    <col min="2" max="2" width="29.453125" bestFit="1" customWidth="1"/>
    <col min="3" max="3" width="3.81640625" bestFit="1" customWidth="1"/>
    <col min="4" max="4" width="30.81640625" bestFit="1" customWidth="1"/>
    <col min="5" max="5" width="30.81640625" customWidth="1"/>
    <col min="10" max="10" width="12.54296875" bestFit="1" customWidth="1"/>
  </cols>
  <sheetData>
    <row r="1" spans="1:10" s="2" customFormat="1" x14ac:dyDescent="0.35">
      <c r="A1" s="2" t="s">
        <v>0</v>
      </c>
      <c r="B1" s="2" t="s">
        <v>180</v>
      </c>
      <c r="C1" s="2" t="s">
        <v>181</v>
      </c>
      <c r="D1" s="2" t="s">
        <v>182</v>
      </c>
      <c r="E1" s="2" t="s">
        <v>183</v>
      </c>
      <c r="F1" s="2" t="s">
        <v>184</v>
      </c>
    </row>
    <row r="2" spans="1:10" x14ac:dyDescent="0.35">
      <c r="A2">
        <v>1</v>
      </c>
      <c r="B2" t="s">
        <v>185</v>
      </c>
      <c r="C2">
        <v>1.1000000000000001</v>
      </c>
      <c r="D2" t="s">
        <v>186</v>
      </c>
      <c r="F2">
        <v>1</v>
      </c>
    </row>
    <row r="3" spans="1:10" x14ac:dyDescent="0.35">
      <c r="C3">
        <v>1.2</v>
      </c>
      <c r="D3" t="s">
        <v>187</v>
      </c>
      <c r="F3">
        <v>1</v>
      </c>
    </row>
    <row r="4" spans="1:10" x14ac:dyDescent="0.35">
      <c r="C4">
        <v>1.3</v>
      </c>
      <c r="D4" t="s">
        <v>188</v>
      </c>
      <c r="F4">
        <v>1</v>
      </c>
    </row>
    <row r="5" spans="1:10" x14ac:dyDescent="0.35">
      <c r="C5">
        <v>1.4</v>
      </c>
      <c r="D5" t="s">
        <v>189</v>
      </c>
      <c r="F5">
        <v>1</v>
      </c>
    </row>
    <row r="6" spans="1:10" x14ac:dyDescent="0.35">
      <c r="C6">
        <v>1.5</v>
      </c>
      <c r="D6" t="s">
        <v>190</v>
      </c>
      <c r="F6">
        <v>1</v>
      </c>
    </row>
    <row r="7" spans="1:10" x14ac:dyDescent="0.35">
      <c r="C7">
        <v>1.6</v>
      </c>
      <c r="D7" t="s">
        <v>191</v>
      </c>
      <c r="F7">
        <v>1</v>
      </c>
      <c r="J7" s="3"/>
    </row>
    <row r="8" spans="1:10" x14ac:dyDescent="0.35">
      <c r="A8">
        <v>2</v>
      </c>
      <c r="B8" t="s">
        <v>192</v>
      </c>
      <c r="C8">
        <v>2.1</v>
      </c>
      <c r="D8" t="s">
        <v>193</v>
      </c>
      <c r="F8">
        <v>3</v>
      </c>
      <c r="J8" s="3"/>
    </row>
    <row r="9" spans="1:10" x14ac:dyDescent="0.35">
      <c r="C9">
        <v>2.2000000000000002</v>
      </c>
      <c r="D9" t="s">
        <v>194</v>
      </c>
      <c r="F9">
        <v>3</v>
      </c>
    </row>
    <row r="10" spans="1:10" x14ac:dyDescent="0.35">
      <c r="C10">
        <v>2.2999999999999998</v>
      </c>
      <c r="D10" t="s">
        <v>175</v>
      </c>
      <c r="F10">
        <v>3</v>
      </c>
    </row>
    <row r="11" spans="1:10" x14ac:dyDescent="0.35">
      <c r="C11">
        <v>2.4</v>
      </c>
      <c r="D11" t="s">
        <v>195</v>
      </c>
      <c r="F11">
        <v>3</v>
      </c>
    </row>
    <row r="12" spans="1:10" x14ac:dyDescent="0.35">
      <c r="C12">
        <v>2.5</v>
      </c>
      <c r="D12" t="s">
        <v>196</v>
      </c>
      <c r="F12">
        <v>3</v>
      </c>
    </row>
    <row r="13" spans="1:10" x14ac:dyDescent="0.35">
      <c r="C13">
        <v>2.6</v>
      </c>
      <c r="D13" t="s">
        <v>197</v>
      </c>
      <c r="F13">
        <v>3</v>
      </c>
    </row>
    <row r="14" spans="1:10" x14ac:dyDescent="0.35">
      <c r="A14">
        <v>3</v>
      </c>
      <c r="B14" t="s">
        <v>198</v>
      </c>
      <c r="C14">
        <v>3.1</v>
      </c>
      <c r="D14" t="s">
        <v>199</v>
      </c>
      <c r="F14">
        <v>3</v>
      </c>
    </row>
    <row r="15" spans="1:10" x14ac:dyDescent="0.35">
      <c r="C15">
        <v>3.2</v>
      </c>
      <c r="D15" t="s">
        <v>200</v>
      </c>
      <c r="F15">
        <v>3</v>
      </c>
    </row>
    <row r="16" spans="1:10" x14ac:dyDescent="0.35">
      <c r="C16">
        <v>3.3</v>
      </c>
      <c r="D16" t="s">
        <v>201</v>
      </c>
      <c r="F16">
        <v>3</v>
      </c>
    </row>
    <row r="17" spans="1:6" x14ac:dyDescent="0.35">
      <c r="C17">
        <v>3.4</v>
      </c>
      <c r="D17" t="s">
        <v>202</v>
      </c>
      <c r="F17">
        <v>3</v>
      </c>
    </row>
    <row r="18" spans="1:6" x14ac:dyDescent="0.35">
      <c r="C18">
        <v>3.5</v>
      </c>
      <c r="D18" t="s">
        <v>203</v>
      </c>
      <c r="F18">
        <v>3</v>
      </c>
    </row>
    <row r="19" spans="1:6" x14ac:dyDescent="0.35">
      <c r="A19">
        <v>4</v>
      </c>
      <c r="B19" t="s">
        <v>204</v>
      </c>
      <c r="C19">
        <v>4.0999999999999996</v>
      </c>
      <c r="D19" t="s">
        <v>205</v>
      </c>
      <c r="F19">
        <v>3</v>
      </c>
    </row>
    <row r="20" spans="1:6" x14ac:dyDescent="0.35">
      <c r="C20">
        <v>4.2</v>
      </c>
      <c r="D20" t="s">
        <v>206</v>
      </c>
      <c r="F20">
        <v>3</v>
      </c>
    </row>
    <row r="21" spans="1:6" x14ac:dyDescent="0.35">
      <c r="C21">
        <v>4.3</v>
      </c>
      <c r="D21" t="s">
        <v>207</v>
      </c>
      <c r="F21">
        <v>3</v>
      </c>
    </row>
    <row r="22" spans="1:6" x14ac:dyDescent="0.35">
      <c r="C22">
        <v>4.4000000000000004</v>
      </c>
      <c r="D22" t="s">
        <v>208</v>
      </c>
      <c r="F22">
        <v>3</v>
      </c>
    </row>
    <row r="23" spans="1:6" x14ac:dyDescent="0.35">
      <c r="C23">
        <v>4.5</v>
      </c>
      <c r="D23" t="s">
        <v>209</v>
      </c>
      <c r="F23">
        <v>3</v>
      </c>
    </row>
    <row r="24" spans="1:6" x14ac:dyDescent="0.35">
      <c r="A24">
        <v>5</v>
      </c>
      <c r="B24" t="s">
        <v>210</v>
      </c>
      <c r="C24">
        <v>5.0999999999999996</v>
      </c>
      <c r="D24" t="s">
        <v>211</v>
      </c>
      <c r="F24">
        <v>3</v>
      </c>
    </row>
    <row r="25" spans="1:6" x14ac:dyDescent="0.35">
      <c r="C25">
        <v>5.2</v>
      </c>
      <c r="D25" t="s">
        <v>212</v>
      </c>
      <c r="F25">
        <v>3</v>
      </c>
    </row>
    <row r="26" spans="1:6" x14ac:dyDescent="0.35">
      <c r="C26">
        <v>5.3</v>
      </c>
      <c r="D26" t="s">
        <v>213</v>
      </c>
      <c r="F26">
        <v>3</v>
      </c>
    </row>
    <row r="27" spans="1:6" x14ac:dyDescent="0.35">
      <c r="C27">
        <v>5.4</v>
      </c>
      <c r="D27" t="s">
        <v>214</v>
      </c>
      <c r="F27">
        <v>3</v>
      </c>
    </row>
    <row r="28" spans="1:6" x14ac:dyDescent="0.35">
      <c r="C28">
        <v>5.5</v>
      </c>
      <c r="D28" t="s">
        <v>215</v>
      </c>
      <c r="F28">
        <v>3</v>
      </c>
    </row>
    <row r="29" spans="1:6" x14ac:dyDescent="0.35">
      <c r="C29">
        <v>5.6</v>
      </c>
      <c r="D29" t="s">
        <v>216</v>
      </c>
      <c r="F29">
        <v>3</v>
      </c>
    </row>
    <row r="30" spans="1:6" x14ac:dyDescent="0.35">
      <c r="A30">
        <v>6</v>
      </c>
      <c r="B30" t="s">
        <v>217</v>
      </c>
      <c r="C30">
        <v>6.1</v>
      </c>
      <c r="D30" t="s">
        <v>218</v>
      </c>
      <c r="F30">
        <v>3</v>
      </c>
    </row>
    <row r="31" spans="1:6" x14ac:dyDescent="0.35">
      <c r="C31">
        <v>6.2</v>
      </c>
      <c r="D31" t="s">
        <v>219</v>
      </c>
      <c r="F31">
        <v>3</v>
      </c>
    </row>
    <row r="32" spans="1:6" x14ac:dyDescent="0.35">
      <c r="C32">
        <v>6.3</v>
      </c>
      <c r="D32" t="s">
        <v>220</v>
      </c>
      <c r="F32">
        <v>3</v>
      </c>
    </row>
    <row r="33" spans="1:6" x14ac:dyDescent="0.35">
      <c r="C33">
        <v>6.4</v>
      </c>
      <c r="D33" t="s">
        <v>221</v>
      </c>
      <c r="F33">
        <v>3</v>
      </c>
    </row>
    <row r="34" spans="1:6" x14ac:dyDescent="0.35">
      <c r="C34">
        <v>6.5</v>
      </c>
      <c r="D34" t="s">
        <v>222</v>
      </c>
      <c r="F34">
        <v>3</v>
      </c>
    </row>
    <row r="35" spans="1:6" x14ac:dyDescent="0.35">
      <c r="A35">
        <v>7</v>
      </c>
      <c r="B35" t="s">
        <v>223</v>
      </c>
      <c r="C35">
        <v>7.1</v>
      </c>
      <c r="D35" t="s">
        <v>224</v>
      </c>
      <c r="F35">
        <v>3</v>
      </c>
    </row>
    <row r="36" spans="1:6" x14ac:dyDescent="0.35">
      <c r="C36">
        <v>7.2</v>
      </c>
      <c r="D36" t="s">
        <v>225</v>
      </c>
      <c r="F36">
        <v>3</v>
      </c>
    </row>
    <row r="37" spans="1:6" x14ac:dyDescent="0.35">
      <c r="C37">
        <v>7.3</v>
      </c>
      <c r="D37" t="s">
        <v>226</v>
      </c>
      <c r="F37">
        <v>3</v>
      </c>
    </row>
    <row r="38" spans="1:6" x14ac:dyDescent="0.35">
      <c r="C38">
        <v>7.4</v>
      </c>
      <c r="D38" t="s">
        <v>227</v>
      </c>
      <c r="F38">
        <v>3</v>
      </c>
    </row>
    <row r="39" spans="1:6" x14ac:dyDescent="0.35">
      <c r="F39">
        <f>SUM(F2:F38)</f>
        <v>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1"/>
  <sheetViews>
    <sheetView topLeftCell="A73" workbookViewId="0">
      <selection activeCell="B2" sqref="B2:C91"/>
    </sheetView>
  </sheetViews>
  <sheetFormatPr defaultRowHeight="14.5" x14ac:dyDescent="0.35"/>
  <cols>
    <col min="1" max="1" width="5.54296875" bestFit="1" customWidth="1"/>
    <col min="2" max="2" width="27.1796875" bestFit="1" customWidth="1"/>
    <col min="3" max="3" width="11.453125" bestFit="1" customWidth="1"/>
    <col min="4" max="4" width="89.81640625" bestFit="1" customWidth="1"/>
    <col min="5" max="5" width="21.6328125" bestFit="1" customWidth="1"/>
  </cols>
  <sheetData>
    <row r="1" spans="1:5" s="2" customFormat="1" ht="15.5" customHeight="1" x14ac:dyDescent="0.35">
      <c r="A1" s="29" t="s">
        <v>0</v>
      </c>
      <c r="B1" s="29" t="s">
        <v>228</v>
      </c>
      <c r="C1" s="29" t="s">
        <v>229</v>
      </c>
      <c r="D1" s="29" t="s">
        <v>230</v>
      </c>
      <c r="E1" s="29" t="s">
        <v>231</v>
      </c>
    </row>
    <row r="2" spans="1:5" x14ac:dyDescent="0.35">
      <c r="A2" s="30">
        <v>1</v>
      </c>
      <c r="B2" s="30" t="s">
        <v>22</v>
      </c>
      <c r="C2" s="30" t="s">
        <v>23</v>
      </c>
      <c r="D2" s="30" t="s">
        <v>232</v>
      </c>
      <c r="E2" s="30" t="s">
        <v>233</v>
      </c>
    </row>
    <row r="3" spans="1:5" x14ac:dyDescent="0.35">
      <c r="A3" s="30">
        <v>2</v>
      </c>
      <c r="B3" s="30" t="s">
        <v>22</v>
      </c>
      <c r="C3" s="30" t="s">
        <v>24</v>
      </c>
      <c r="D3" s="30" t="s">
        <v>234</v>
      </c>
      <c r="E3" s="30" t="s">
        <v>233</v>
      </c>
    </row>
    <row r="4" spans="1:5" x14ac:dyDescent="0.35">
      <c r="A4" s="30">
        <v>3</v>
      </c>
      <c r="B4" s="30" t="s">
        <v>22</v>
      </c>
      <c r="C4" s="30" t="s">
        <v>25</v>
      </c>
      <c r="D4" s="30" t="s">
        <v>235</v>
      </c>
      <c r="E4" s="30" t="s">
        <v>236</v>
      </c>
    </row>
    <row r="5" spans="1:5" x14ac:dyDescent="0.35">
      <c r="A5" s="30">
        <v>4</v>
      </c>
      <c r="B5" s="30" t="s">
        <v>26</v>
      </c>
      <c r="C5" s="30" t="s">
        <v>27</v>
      </c>
      <c r="D5" s="30" t="s">
        <v>237</v>
      </c>
      <c r="E5" s="30" t="s">
        <v>233</v>
      </c>
    </row>
    <row r="6" spans="1:5" x14ac:dyDescent="0.35">
      <c r="A6" s="30">
        <v>5</v>
      </c>
      <c r="B6" s="30" t="s">
        <v>26</v>
      </c>
      <c r="C6" s="30" t="s">
        <v>28</v>
      </c>
      <c r="D6" s="30" t="s">
        <v>238</v>
      </c>
      <c r="E6" s="30" t="s">
        <v>233</v>
      </c>
    </row>
    <row r="7" spans="1:5" x14ac:dyDescent="0.35">
      <c r="A7" s="30">
        <v>6</v>
      </c>
      <c r="B7" s="30" t="s">
        <v>26</v>
      </c>
      <c r="C7" s="30" t="s">
        <v>29</v>
      </c>
      <c r="D7" s="30" t="s">
        <v>239</v>
      </c>
      <c r="E7" s="30" t="s">
        <v>236</v>
      </c>
    </row>
    <row r="8" spans="1:5" x14ac:dyDescent="0.35">
      <c r="A8" s="30">
        <v>7</v>
      </c>
      <c r="B8" s="30" t="s">
        <v>30</v>
      </c>
      <c r="C8" s="30" t="s">
        <v>31</v>
      </c>
      <c r="D8" s="30" t="s">
        <v>240</v>
      </c>
      <c r="E8" s="30" t="s">
        <v>233</v>
      </c>
    </row>
    <row r="9" spans="1:5" x14ac:dyDescent="0.35">
      <c r="A9" s="30">
        <v>8</v>
      </c>
      <c r="B9" s="30" t="s">
        <v>30</v>
      </c>
      <c r="C9" s="30" t="s">
        <v>32</v>
      </c>
      <c r="D9" s="30" t="s">
        <v>241</v>
      </c>
      <c r="E9" s="30" t="s">
        <v>233</v>
      </c>
    </row>
    <row r="10" spans="1:5" x14ac:dyDescent="0.35">
      <c r="A10" s="30">
        <v>9</v>
      </c>
      <c r="B10" s="30" t="s">
        <v>30</v>
      </c>
      <c r="C10" s="30" t="s">
        <v>33</v>
      </c>
      <c r="D10" s="30" t="s">
        <v>242</v>
      </c>
      <c r="E10" s="30" t="s">
        <v>236</v>
      </c>
    </row>
    <row r="11" spans="1:5" x14ac:dyDescent="0.35">
      <c r="A11" s="30">
        <v>10</v>
      </c>
      <c r="B11" s="30" t="s">
        <v>34</v>
      </c>
      <c r="C11" s="30" t="s">
        <v>35</v>
      </c>
      <c r="D11" s="30" t="s">
        <v>243</v>
      </c>
      <c r="E11" s="30" t="s">
        <v>233</v>
      </c>
    </row>
    <row r="12" spans="1:5" x14ac:dyDescent="0.35">
      <c r="A12" s="30">
        <v>11</v>
      </c>
      <c r="B12" s="30" t="s">
        <v>34</v>
      </c>
      <c r="C12" s="30" t="s">
        <v>36</v>
      </c>
      <c r="D12" s="30" t="s">
        <v>244</v>
      </c>
      <c r="E12" s="30" t="s">
        <v>233</v>
      </c>
    </row>
    <row r="13" spans="1:5" x14ac:dyDescent="0.35">
      <c r="A13" s="30">
        <v>12</v>
      </c>
      <c r="B13" s="30" t="s">
        <v>34</v>
      </c>
      <c r="C13" s="30" t="s">
        <v>37</v>
      </c>
      <c r="D13" s="30" t="s">
        <v>245</v>
      </c>
      <c r="E13" s="30" t="s">
        <v>236</v>
      </c>
    </row>
    <row r="14" spans="1:5" x14ac:dyDescent="0.35">
      <c r="A14" s="30">
        <v>13</v>
      </c>
      <c r="B14" s="30" t="s">
        <v>38</v>
      </c>
      <c r="C14" s="30" t="s">
        <v>39</v>
      </c>
      <c r="D14" s="30" t="s">
        <v>246</v>
      </c>
      <c r="E14" s="30" t="s">
        <v>233</v>
      </c>
    </row>
    <row r="15" spans="1:5" ht="29" customHeight="1" x14ac:dyDescent="0.35">
      <c r="A15" s="30">
        <v>14</v>
      </c>
      <c r="B15" s="30" t="s">
        <v>38</v>
      </c>
      <c r="C15" s="30" t="s">
        <v>40</v>
      </c>
      <c r="D15" s="30" t="s">
        <v>247</v>
      </c>
      <c r="E15" s="30" t="s">
        <v>233</v>
      </c>
    </row>
    <row r="16" spans="1:5" x14ac:dyDescent="0.35">
      <c r="A16" s="30">
        <v>15</v>
      </c>
      <c r="B16" s="30" t="s">
        <v>38</v>
      </c>
      <c r="C16" s="30" t="s">
        <v>41</v>
      </c>
      <c r="D16" s="30" t="s">
        <v>248</v>
      </c>
      <c r="E16" s="30" t="s">
        <v>236</v>
      </c>
    </row>
    <row r="17" spans="1:5" x14ac:dyDescent="0.35">
      <c r="A17" s="30">
        <v>16</v>
      </c>
      <c r="B17" s="30" t="s">
        <v>42</v>
      </c>
      <c r="C17" s="30" t="s">
        <v>43</v>
      </c>
      <c r="D17" s="30" t="s">
        <v>249</v>
      </c>
      <c r="E17" s="30" t="s">
        <v>233</v>
      </c>
    </row>
    <row r="18" spans="1:5" x14ac:dyDescent="0.35">
      <c r="A18" s="30">
        <v>17</v>
      </c>
      <c r="B18" s="30" t="s">
        <v>42</v>
      </c>
      <c r="C18" s="30" t="s">
        <v>44</v>
      </c>
      <c r="D18" s="30" t="s">
        <v>250</v>
      </c>
      <c r="E18" s="30" t="s">
        <v>233</v>
      </c>
    </row>
    <row r="19" spans="1:5" x14ac:dyDescent="0.35">
      <c r="A19" s="30">
        <v>18</v>
      </c>
      <c r="B19" s="30" t="s">
        <v>42</v>
      </c>
      <c r="C19" s="30" t="s">
        <v>45</v>
      </c>
      <c r="D19" s="30" t="s">
        <v>251</v>
      </c>
      <c r="E19" s="30" t="s">
        <v>236</v>
      </c>
    </row>
    <row r="20" spans="1:5" x14ac:dyDescent="0.35">
      <c r="A20" s="30">
        <v>19</v>
      </c>
      <c r="B20" s="30" t="s">
        <v>47</v>
      </c>
      <c r="C20" s="30" t="s">
        <v>48</v>
      </c>
      <c r="D20" s="30" t="s">
        <v>252</v>
      </c>
      <c r="E20" s="30" t="s">
        <v>233</v>
      </c>
    </row>
    <row r="21" spans="1:5" x14ac:dyDescent="0.35">
      <c r="A21" s="30">
        <v>20</v>
      </c>
      <c r="B21" s="30" t="s">
        <v>47</v>
      </c>
      <c r="C21" s="30" t="s">
        <v>49</v>
      </c>
      <c r="D21" s="30" t="s">
        <v>253</v>
      </c>
      <c r="E21" s="30" t="s">
        <v>233</v>
      </c>
    </row>
    <row r="22" spans="1:5" x14ac:dyDescent="0.35">
      <c r="A22" s="30">
        <v>21</v>
      </c>
      <c r="B22" s="30" t="s">
        <v>47</v>
      </c>
      <c r="C22" s="30" t="s">
        <v>50</v>
      </c>
      <c r="D22" s="30" t="s">
        <v>254</v>
      </c>
      <c r="E22" s="30" t="s">
        <v>236</v>
      </c>
    </row>
    <row r="23" spans="1:5" x14ac:dyDescent="0.35">
      <c r="A23" s="30">
        <v>22</v>
      </c>
      <c r="B23" s="30" t="s">
        <v>51</v>
      </c>
      <c r="C23" s="30" t="s">
        <v>52</v>
      </c>
      <c r="D23" s="30" t="s">
        <v>255</v>
      </c>
      <c r="E23" s="30" t="s">
        <v>233</v>
      </c>
    </row>
    <row r="24" spans="1:5" x14ac:dyDescent="0.35">
      <c r="A24" s="30">
        <v>23</v>
      </c>
      <c r="B24" s="30" t="s">
        <v>51</v>
      </c>
      <c r="C24" s="30" t="s">
        <v>53</v>
      </c>
      <c r="D24" s="30" t="s">
        <v>256</v>
      </c>
      <c r="E24" s="30" t="s">
        <v>233</v>
      </c>
    </row>
    <row r="25" spans="1:5" ht="29" customHeight="1" x14ac:dyDescent="0.35">
      <c r="A25" s="30">
        <v>24</v>
      </c>
      <c r="B25" s="30" t="s">
        <v>51</v>
      </c>
      <c r="C25" s="30" t="s">
        <v>54</v>
      </c>
      <c r="D25" s="30" t="s">
        <v>257</v>
      </c>
      <c r="E25" s="30" t="s">
        <v>236</v>
      </c>
    </row>
    <row r="26" spans="1:5" x14ac:dyDescent="0.35">
      <c r="A26" s="30">
        <v>25</v>
      </c>
      <c r="B26" s="30" t="s">
        <v>55</v>
      </c>
      <c r="C26" s="30" t="s">
        <v>56</v>
      </c>
      <c r="D26" s="30" t="s">
        <v>258</v>
      </c>
      <c r="E26" s="30" t="s">
        <v>233</v>
      </c>
    </row>
    <row r="27" spans="1:5" x14ac:dyDescent="0.35">
      <c r="A27" s="30">
        <v>26</v>
      </c>
      <c r="B27" s="30" t="s">
        <v>55</v>
      </c>
      <c r="C27" s="30" t="s">
        <v>57</v>
      </c>
      <c r="D27" s="30" t="s">
        <v>259</v>
      </c>
      <c r="E27" s="30" t="s">
        <v>233</v>
      </c>
    </row>
    <row r="28" spans="1:5" x14ac:dyDescent="0.35">
      <c r="A28" s="30">
        <v>27</v>
      </c>
      <c r="B28" s="30" t="s">
        <v>55</v>
      </c>
      <c r="C28" s="30" t="s">
        <v>58</v>
      </c>
      <c r="D28" s="30" t="s">
        <v>260</v>
      </c>
      <c r="E28" s="30" t="s">
        <v>236</v>
      </c>
    </row>
    <row r="29" spans="1:5" x14ac:dyDescent="0.35">
      <c r="A29" s="30">
        <v>28</v>
      </c>
      <c r="B29" s="30" t="s">
        <v>59</v>
      </c>
      <c r="C29" s="30" t="s">
        <v>60</v>
      </c>
      <c r="D29" s="30" t="s">
        <v>261</v>
      </c>
      <c r="E29" s="30" t="s">
        <v>233</v>
      </c>
    </row>
    <row r="30" spans="1:5" x14ac:dyDescent="0.35">
      <c r="A30" s="30">
        <v>29</v>
      </c>
      <c r="B30" s="30" t="s">
        <v>59</v>
      </c>
      <c r="C30" s="30" t="s">
        <v>61</v>
      </c>
      <c r="D30" s="30" t="s">
        <v>262</v>
      </c>
      <c r="E30" s="30" t="s">
        <v>233</v>
      </c>
    </row>
    <row r="31" spans="1:5" x14ac:dyDescent="0.35">
      <c r="A31" s="30">
        <v>30</v>
      </c>
      <c r="B31" s="30" t="s">
        <v>59</v>
      </c>
      <c r="C31" s="30" t="s">
        <v>62</v>
      </c>
      <c r="D31" s="30" t="s">
        <v>263</v>
      </c>
      <c r="E31" s="30" t="s">
        <v>236</v>
      </c>
    </row>
    <row r="32" spans="1:5" ht="29" customHeight="1" x14ac:dyDescent="0.35">
      <c r="A32" s="30">
        <v>31</v>
      </c>
      <c r="B32" s="30" t="s">
        <v>63</v>
      </c>
      <c r="C32" s="30" t="s">
        <v>64</v>
      </c>
      <c r="D32" s="30" t="s">
        <v>264</v>
      </c>
      <c r="E32" s="30" t="s">
        <v>233</v>
      </c>
    </row>
    <row r="33" spans="1:5" x14ac:dyDescent="0.35">
      <c r="A33" s="30">
        <v>32</v>
      </c>
      <c r="B33" s="30" t="s">
        <v>63</v>
      </c>
      <c r="C33" s="30" t="s">
        <v>65</v>
      </c>
      <c r="D33" s="30" t="s">
        <v>265</v>
      </c>
      <c r="E33" s="30" t="s">
        <v>233</v>
      </c>
    </row>
    <row r="34" spans="1:5" x14ac:dyDescent="0.35">
      <c r="A34" s="30">
        <v>33</v>
      </c>
      <c r="B34" s="30" t="s">
        <v>63</v>
      </c>
      <c r="C34" s="30" t="s">
        <v>66</v>
      </c>
      <c r="D34" s="30" t="s">
        <v>266</v>
      </c>
      <c r="E34" s="30" t="s">
        <v>236</v>
      </c>
    </row>
    <row r="35" spans="1:5" ht="29" customHeight="1" x14ac:dyDescent="0.35">
      <c r="A35" s="30">
        <v>34</v>
      </c>
      <c r="B35" s="30" t="s">
        <v>67</v>
      </c>
      <c r="C35" s="30" t="s">
        <v>68</v>
      </c>
      <c r="D35" s="30" t="s">
        <v>267</v>
      </c>
      <c r="E35" s="30" t="s">
        <v>233</v>
      </c>
    </row>
    <row r="36" spans="1:5" x14ac:dyDescent="0.35">
      <c r="A36" s="30">
        <v>35</v>
      </c>
      <c r="B36" s="30" t="s">
        <v>67</v>
      </c>
      <c r="C36" s="30" t="s">
        <v>69</v>
      </c>
      <c r="D36" s="30" t="s">
        <v>268</v>
      </c>
      <c r="E36" s="30" t="s">
        <v>233</v>
      </c>
    </row>
    <row r="37" spans="1:5" x14ac:dyDescent="0.35">
      <c r="A37" s="30">
        <v>36</v>
      </c>
      <c r="B37" s="30" t="s">
        <v>67</v>
      </c>
      <c r="C37" s="30" t="s">
        <v>70</v>
      </c>
      <c r="D37" s="30" t="s">
        <v>269</v>
      </c>
      <c r="E37" s="30" t="s">
        <v>236</v>
      </c>
    </row>
    <row r="38" spans="1:5" x14ac:dyDescent="0.35">
      <c r="A38" s="30">
        <v>37</v>
      </c>
      <c r="B38" s="30" t="s">
        <v>72</v>
      </c>
      <c r="C38" s="30" t="s">
        <v>73</v>
      </c>
      <c r="D38" s="30" t="s">
        <v>270</v>
      </c>
      <c r="E38" s="30" t="s">
        <v>233</v>
      </c>
    </row>
    <row r="39" spans="1:5" x14ac:dyDescent="0.35">
      <c r="A39" s="30">
        <v>38</v>
      </c>
      <c r="B39" s="30" t="s">
        <v>72</v>
      </c>
      <c r="C39" s="30" t="s">
        <v>74</v>
      </c>
      <c r="D39" s="30" t="s">
        <v>271</v>
      </c>
      <c r="E39" s="30" t="s">
        <v>233</v>
      </c>
    </row>
    <row r="40" spans="1:5" x14ac:dyDescent="0.35">
      <c r="A40" s="30">
        <v>39</v>
      </c>
      <c r="B40" s="30" t="s">
        <v>72</v>
      </c>
      <c r="C40" s="30" t="s">
        <v>75</v>
      </c>
      <c r="D40" s="30" t="s">
        <v>272</v>
      </c>
      <c r="E40" s="30" t="s">
        <v>236</v>
      </c>
    </row>
    <row r="41" spans="1:5" x14ac:dyDescent="0.35">
      <c r="A41" s="30">
        <v>40</v>
      </c>
      <c r="B41" s="30" t="s">
        <v>76</v>
      </c>
      <c r="C41" s="30" t="s">
        <v>77</v>
      </c>
      <c r="D41" s="30" t="s">
        <v>273</v>
      </c>
      <c r="E41" s="30" t="s">
        <v>233</v>
      </c>
    </row>
    <row r="42" spans="1:5" x14ac:dyDescent="0.35">
      <c r="A42" s="30">
        <v>41</v>
      </c>
      <c r="B42" s="30" t="s">
        <v>76</v>
      </c>
      <c r="C42" s="30" t="s">
        <v>78</v>
      </c>
      <c r="D42" s="30" t="s">
        <v>274</v>
      </c>
      <c r="E42" s="30" t="s">
        <v>233</v>
      </c>
    </row>
    <row r="43" spans="1:5" x14ac:dyDescent="0.35">
      <c r="A43" s="30">
        <v>42</v>
      </c>
      <c r="B43" s="30" t="s">
        <v>76</v>
      </c>
      <c r="C43" s="30" t="s">
        <v>79</v>
      </c>
      <c r="D43" s="30" t="s">
        <v>275</v>
      </c>
      <c r="E43" s="30" t="s">
        <v>236</v>
      </c>
    </row>
    <row r="44" spans="1:5" x14ac:dyDescent="0.35">
      <c r="A44" s="30">
        <v>43</v>
      </c>
      <c r="B44" s="30" t="s">
        <v>80</v>
      </c>
      <c r="C44" s="30" t="s">
        <v>81</v>
      </c>
      <c r="D44" s="30" t="s">
        <v>276</v>
      </c>
      <c r="E44" s="30" t="s">
        <v>233</v>
      </c>
    </row>
    <row r="45" spans="1:5" x14ac:dyDescent="0.35">
      <c r="A45" s="30">
        <v>44</v>
      </c>
      <c r="B45" s="30" t="s">
        <v>80</v>
      </c>
      <c r="C45" s="30" t="s">
        <v>82</v>
      </c>
      <c r="D45" s="30" t="s">
        <v>277</v>
      </c>
      <c r="E45" s="30" t="s">
        <v>233</v>
      </c>
    </row>
    <row r="46" spans="1:5" x14ac:dyDescent="0.35">
      <c r="A46" s="30">
        <v>45</v>
      </c>
      <c r="B46" s="30" t="s">
        <v>80</v>
      </c>
      <c r="C46" s="30" t="s">
        <v>83</v>
      </c>
      <c r="D46" s="30" t="s">
        <v>278</v>
      </c>
      <c r="E46" s="30" t="s">
        <v>236</v>
      </c>
    </row>
    <row r="47" spans="1:5" x14ac:dyDescent="0.35">
      <c r="A47" s="30">
        <v>46</v>
      </c>
      <c r="B47" s="30" t="s">
        <v>84</v>
      </c>
      <c r="C47" s="30" t="s">
        <v>85</v>
      </c>
      <c r="D47" s="30" t="s">
        <v>279</v>
      </c>
      <c r="E47" s="30" t="s">
        <v>233</v>
      </c>
    </row>
    <row r="48" spans="1:5" x14ac:dyDescent="0.35">
      <c r="A48" s="30">
        <v>47</v>
      </c>
      <c r="B48" s="30" t="s">
        <v>84</v>
      </c>
      <c r="C48" s="30" t="s">
        <v>86</v>
      </c>
      <c r="D48" s="30" t="s">
        <v>280</v>
      </c>
      <c r="E48" s="30" t="s">
        <v>233</v>
      </c>
    </row>
    <row r="49" spans="1:5" x14ac:dyDescent="0.35">
      <c r="A49" s="30">
        <v>48</v>
      </c>
      <c r="B49" s="30" t="s">
        <v>84</v>
      </c>
      <c r="C49" s="30" t="s">
        <v>87</v>
      </c>
      <c r="D49" s="30" t="s">
        <v>281</v>
      </c>
      <c r="E49" s="30" t="s">
        <v>236</v>
      </c>
    </row>
    <row r="50" spans="1:5" x14ac:dyDescent="0.35">
      <c r="A50" s="30">
        <v>49</v>
      </c>
      <c r="B50" s="30" t="s">
        <v>88</v>
      </c>
      <c r="C50" s="30" t="s">
        <v>89</v>
      </c>
      <c r="D50" s="30" t="s">
        <v>282</v>
      </c>
      <c r="E50" s="30" t="s">
        <v>233</v>
      </c>
    </row>
    <row r="51" spans="1:5" x14ac:dyDescent="0.35">
      <c r="A51" s="30">
        <v>50</v>
      </c>
      <c r="B51" s="30" t="s">
        <v>88</v>
      </c>
      <c r="C51" s="30" t="s">
        <v>90</v>
      </c>
      <c r="D51" s="30" t="s">
        <v>283</v>
      </c>
      <c r="E51" s="30" t="s">
        <v>233</v>
      </c>
    </row>
    <row r="52" spans="1:5" x14ac:dyDescent="0.35">
      <c r="A52" s="30">
        <v>51</v>
      </c>
      <c r="B52" s="30" t="s">
        <v>88</v>
      </c>
      <c r="C52" s="30" t="s">
        <v>91</v>
      </c>
      <c r="D52" s="30" t="s">
        <v>284</v>
      </c>
      <c r="E52" s="30" t="s">
        <v>236</v>
      </c>
    </row>
    <row r="53" spans="1:5" x14ac:dyDescent="0.35">
      <c r="A53" s="30">
        <v>52</v>
      </c>
      <c r="B53" s="30" t="s">
        <v>92</v>
      </c>
      <c r="C53" s="30" t="s">
        <v>93</v>
      </c>
      <c r="D53" s="30" t="s">
        <v>285</v>
      </c>
      <c r="E53" s="30" t="s">
        <v>233</v>
      </c>
    </row>
    <row r="54" spans="1:5" x14ac:dyDescent="0.35">
      <c r="A54" s="30">
        <v>53</v>
      </c>
      <c r="B54" s="30" t="s">
        <v>92</v>
      </c>
      <c r="C54" s="30" t="s">
        <v>94</v>
      </c>
      <c r="D54" s="30" t="s">
        <v>286</v>
      </c>
      <c r="E54" s="30" t="s">
        <v>233</v>
      </c>
    </row>
    <row r="55" spans="1:5" x14ac:dyDescent="0.35">
      <c r="A55" s="30">
        <v>54</v>
      </c>
      <c r="B55" s="30" t="s">
        <v>92</v>
      </c>
      <c r="C55" s="30" t="s">
        <v>95</v>
      </c>
      <c r="D55" s="30" t="s">
        <v>287</v>
      </c>
      <c r="E55" s="30" t="s">
        <v>236</v>
      </c>
    </row>
    <row r="56" spans="1:5" x14ac:dyDescent="0.35">
      <c r="A56" s="30">
        <v>55</v>
      </c>
      <c r="B56" s="30" t="s">
        <v>97</v>
      </c>
      <c r="C56" s="30" t="s">
        <v>98</v>
      </c>
      <c r="D56" s="30" t="s">
        <v>288</v>
      </c>
      <c r="E56" s="30" t="s">
        <v>233</v>
      </c>
    </row>
    <row r="57" spans="1:5" x14ac:dyDescent="0.35">
      <c r="A57" s="30">
        <v>56</v>
      </c>
      <c r="B57" s="30" t="s">
        <v>97</v>
      </c>
      <c r="C57" s="30" t="s">
        <v>99</v>
      </c>
      <c r="D57" s="30" t="s">
        <v>289</v>
      </c>
      <c r="E57" s="30" t="s">
        <v>233</v>
      </c>
    </row>
    <row r="58" spans="1:5" x14ac:dyDescent="0.35">
      <c r="A58" s="30">
        <v>57</v>
      </c>
      <c r="B58" s="30" t="s">
        <v>97</v>
      </c>
      <c r="C58" s="30" t="s">
        <v>100</v>
      </c>
      <c r="D58" s="30" t="s">
        <v>290</v>
      </c>
      <c r="E58" s="30" t="s">
        <v>236</v>
      </c>
    </row>
    <row r="59" spans="1:5" x14ac:dyDescent="0.35">
      <c r="A59" s="30">
        <v>58</v>
      </c>
      <c r="B59" s="30" t="s">
        <v>101</v>
      </c>
      <c r="C59" s="30" t="s">
        <v>102</v>
      </c>
      <c r="D59" s="30" t="s">
        <v>291</v>
      </c>
      <c r="E59" s="30" t="s">
        <v>233</v>
      </c>
    </row>
    <row r="60" spans="1:5" x14ac:dyDescent="0.35">
      <c r="A60" s="30">
        <v>59</v>
      </c>
      <c r="B60" s="30" t="s">
        <v>101</v>
      </c>
      <c r="C60" s="30" t="s">
        <v>103</v>
      </c>
      <c r="D60" s="30" t="s">
        <v>292</v>
      </c>
      <c r="E60" s="30" t="s">
        <v>233</v>
      </c>
    </row>
    <row r="61" spans="1:5" x14ac:dyDescent="0.35">
      <c r="A61" s="30">
        <v>60</v>
      </c>
      <c r="B61" s="30" t="s">
        <v>101</v>
      </c>
      <c r="C61" s="30" t="s">
        <v>104</v>
      </c>
      <c r="D61" s="30" t="s">
        <v>293</v>
      </c>
      <c r="E61" s="30" t="s">
        <v>236</v>
      </c>
    </row>
    <row r="62" spans="1:5" x14ac:dyDescent="0.35">
      <c r="A62" s="30">
        <v>61</v>
      </c>
      <c r="B62" s="30" t="s">
        <v>105</v>
      </c>
      <c r="C62" s="30" t="s">
        <v>106</v>
      </c>
      <c r="D62" s="30" t="s">
        <v>294</v>
      </c>
      <c r="E62" s="30" t="s">
        <v>233</v>
      </c>
    </row>
    <row r="63" spans="1:5" x14ac:dyDescent="0.35">
      <c r="A63" s="30">
        <v>62</v>
      </c>
      <c r="B63" s="30" t="s">
        <v>105</v>
      </c>
      <c r="C63" s="30" t="s">
        <v>107</v>
      </c>
      <c r="D63" s="30" t="s">
        <v>295</v>
      </c>
      <c r="E63" s="30" t="s">
        <v>233</v>
      </c>
    </row>
    <row r="64" spans="1:5" x14ac:dyDescent="0.35">
      <c r="A64" s="30">
        <v>63</v>
      </c>
      <c r="B64" s="30" t="s">
        <v>105</v>
      </c>
      <c r="C64" s="30" t="s">
        <v>108</v>
      </c>
      <c r="D64" s="30" t="s">
        <v>296</v>
      </c>
      <c r="E64" s="30" t="s">
        <v>236</v>
      </c>
    </row>
    <row r="65" spans="1:5" x14ac:dyDescent="0.35">
      <c r="A65" s="30">
        <v>64</v>
      </c>
      <c r="B65" s="30" t="s">
        <v>109</v>
      </c>
      <c r="C65" s="30" t="s">
        <v>110</v>
      </c>
      <c r="D65" s="30" t="s">
        <v>297</v>
      </c>
      <c r="E65" s="30" t="s">
        <v>233</v>
      </c>
    </row>
    <row r="66" spans="1:5" x14ac:dyDescent="0.35">
      <c r="A66" s="30">
        <v>65</v>
      </c>
      <c r="B66" s="30" t="s">
        <v>109</v>
      </c>
      <c r="C66" s="30" t="s">
        <v>111</v>
      </c>
      <c r="D66" s="30" t="s">
        <v>298</v>
      </c>
      <c r="E66" s="30" t="s">
        <v>233</v>
      </c>
    </row>
    <row r="67" spans="1:5" x14ac:dyDescent="0.35">
      <c r="A67" s="30">
        <v>66</v>
      </c>
      <c r="B67" s="30" t="s">
        <v>109</v>
      </c>
      <c r="C67" s="30" t="s">
        <v>112</v>
      </c>
      <c r="D67" s="30" t="s">
        <v>299</v>
      </c>
      <c r="E67" s="30" t="s">
        <v>236</v>
      </c>
    </row>
    <row r="68" spans="1:5" x14ac:dyDescent="0.35">
      <c r="A68" s="30">
        <v>67</v>
      </c>
      <c r="B68" s="30" t="s">
        <v>113</v>
      </c>
      <c r="C68" s="30" t="s">
        <v>114</v>
      </c>
      <c r="D68" s="30" t="s">
        <v>300</v>
      </c>
      <c r="E68" s="30" t="s">
        <v>233</v>
      </c>
    </row>
    <row r="69" spans="1:5" x14ac:dyDescent="0.35">
      <c r="A69" s="30">
        <v>68</v>
      </c>
      <c r="B69" s="30" t="s">
        <v>113</v>
      </c>
      <c r="C69" s="30" t="s">
        <v>115</v>
      </c>
      <c r="D69" s="30" t="s">
        <v>301</v>
      </c>
      <c r="E69" s="30" t="s">
        <v>233</v>
      </c>
    </row>
    <row r="70" spans="1:5" x14ac:dyDescent="0.35">
      <c r="A70" s="30">
        <v>69</v>
      </c>
      <c r="B70" s="30" t="s">
        <v>113</v>
      </c>
      <c r="C70" s="30" t="s">
        <v>116</v>
      </c>
      <c r="D70" s="30" t="s">
        <v>302</v>
      </c>
      <c r="E70" s="30" t="s">
        <v>236</v>
      </c>
    </row>
    <row r="71" spans="1:5" x14ac:dyDescent="0.35">
      <c r="A71" s="30">
        <v>70</v>
      </c>
      <c r="B71" s="30" t="s">
        <v>117</v>
      </c>
      <c r="C71" s="30" t="s">
        <v>118</v>
      </c>
      <c r="D71" s="30" t="s">
        <v>303</v>
      </c>
      <c r="E71" s="30" t="s">
        <v>233</v>
      </c>
    </row>
    <row r="72" spans="1:5" ht="29" customHeight="1" x14ac:dyDescent="0.35">
      <c r="A72" s="30">
        <v>71</v>
      </c>
      <c r="B72" s="30" t="s">
        <v>117</v>
      </c>
      <c r="C72" s="30" t="s">
        <v>119</v>
      </c>
      <c r="D72" s="30" t="s">
        <v>304</v>
      </c>
      <c r="E72" s="30" t="s">
        <v>233</v>
      </c>
    </row>
    <row r="73" spans="1:5" x14ac:dyDescent="0.35">
      <c r="A73" s="30">
        <v>72</v>
      </c>
      <c r="B73" s="30" t="s">
        <v>117</v>
      </c>
      <c r="C73" s="30" t="s">
        <v>120</v>
      </c>
      <c r="D73" s="30" t="s">
        <v>305</v>
      </c>
      <c r="E73" s="30" t="s">
        <v>236</v>
      </c>
    </row>
    <row r="74" spans="1:5" x14ac:dyDescent="0.35">
      <c r="A74" s="30">
        <v>73</v>
      </c>
      <c r="B74" s="30" t="s">
        <v>122</v>
      </c>
      <c r="C74" s="30" t="s">
        <v>123</v>
      </c>
      <c r="D74" s="30" t="s">
        <v>306</v>
      </c>
      <c r="E74" s="30" t="s">
        <v>233</v>
      </c>
    </row>
    <row r="75" spans="1:5" x14ac:dyDescent="0.35">
      <c r="A75" s="30">
        <v>74</v>
      </c>
      <c r="B75" s="30" t="s">
        <v>122</v>
      </c>
      <c r="C75" s="30" t="s">
        <v>124</v>
      </c>
      <c r="D75" s="30" t="s">
        <v>307</v>
      </c>
      <c r="E75" s="30" t="s">
        <v>233</v>
      </c>
    </row>
    <row r="76" spans="1:5" x14ac:dyDescent="0.35">
      <c r="A76" s="30">
        <v>75</v>
      </c>
      <c r="B76" s="30" t="s">
        <v>122</v>
      </c>
      <c r="C76" s="30" t="s">
        <v>125</v>
      </c>
      <c r="D76" s="30" t="s">
        <v>308</v>
      </c>
      <c r="E76" s="30" t="s">
        <v>236</v>
      </c>
    </row>
    <row r="77" spans="1:5" x14ac:dyDescent="0.35">
      <c r="A77" s="30">
        <v>76</v>
      </c>
      <c r="B77" s="30" t="s">
        <v>126</v>
      </c>
      <c r="C77" s="30" t="s">
        <v>127</v>
      </c>
      <c r="D77" s="30" t="s">
        <v>309</v>
      </c>
      <c r="E77" s="30" t="s">
        <v>233</v>
      </c>
    </row>
    <row r="78" spans="1:5" x14ac:dyDescent="0.35">
      <c r="A78" s="30">
        <v>77</v>
      </c>
      <c r="B78" s="30" t="s">
        <v>126</v>
      </c>
      <c r="C78" s="30" t="s">
        <v>128</v>
      </c>
      <c r="D78" s="30" t="s">
        <v>310</v>
      </c>
      <c r="E78" s="30" t="s">
        <v>233</v>
      </c>
    </row>
    <row r="79" spans="1:5" x14ac:dyDescent="0.35">
      <c r="A79" s="30">
        <v>78</v>
      </c>
      <c r="B79" s="30" t="s">
        <v>126</v>
      </c>
      <c r="C79" s="30" t="s">
        <v>129</v>
      </c>
      <c r="D79" s="30" t="s">
        <v>311</v>
      </c>
      <c r="E79" s="30" t="s">
        <v>236</v>
      </c>
    </row>
    <row r="80" spans="1:5" x14ac:dyDescent="0.35">
      <c r="A80" s="30">
        <v>79</v>
      </c>
      <c r="B80" s="30" t="s">
        <v>130</v>
      </c>
      <c r="C80" s="30" t="s">
        <v>131</v>
      </c>
      <c r="D80" s="30" t="s">
        <v>312</v>
      </c>
      <c r="E80" s="30" t="s">
        <v>233</v>
      </c>
    </row>
    <row r="81" spans="1:5" x14ac:dyDescent="0.35">
      <c r="A81" s="30">
        <v>80</v>
      </c>
      <c r="B81" s="30" t="s">
        <v>130</v>
      </c>
      <c r="C81" s="30" t="s">
        <v>132</v>
      </c>
      <c r="D81" s="30" t="s">
        <v>313</v>
      </c>
      <c r="E81" s="30" t="s">
        <v>233</v>
      </c>
    </row>
    <row r="82" spans="1:5" x14ac:dyDescent="0.35">
      <c r="A82" s="30">
        <v>81</v>
      </c>
      <c r="B82" s="30" t="s">
        <v>130</v>
      </c>
      <c r="C82" s="30" t="s">
        <v>133</v>
      </c>
      <c r="D82" s="30" t="s">
        <v>314</v>
      </c>
      <c r="E82" s="30" t="s">
        <v>236</v>
      </c>
    </row>
    <row r="83" spans="1:5" ht="29" customHeight="1" x14ac:dyDescent="0.35">
      <c r="A83" s="30">
        <v>82</v>
      </c>
      <c r="B83" s="30" t="s">
        <v>134</v>
      </c>
      <c r="C83" s="30" t="s">
        <v>135</v>
      </c>
      <c r="D83" s="30" t="s">
        <v>315</v>
      </c>
      <c r="E83" s="30" t="s">
        <v>233</v>
      </c>
    </row>
    <row r="84" spans="1:5" ht="29" customHeight="1" x14ac:dyDescent="0.35">
      <c r="A84" s="30">
        <v>83</v>
      </c>
      <c r="B84" s="30" t="s">
        <v>134</v>
      </c>
      <c r="C84" s="30" t="s">
        <v>136</v>
      </c>
      <c r="D84" s="30" t="s">
        <v>316</v>
      </c>
      <c r="E84" s="30" t="s">
        <v>233</v>
      </c>
    </row>
    <row r="85" spans="1:5" ht="29" customHeight="1" x14ac:dyDescent="0.35">
      <c r="A85" s="30">
        <v>84</v>
      </c>
      <c r="B85" s="30" t="s">
        <v>134</v>
      </c>
      <c r="C85" s="30" t="s">
        <v>137</v>
      </c>
      <c r="D85" s="30" t="s">
        <v>317</v>
      </c>
      <c r="E85" s="30" t="s">
        <v>236</v>
      </c>
    </row>
    <row r="86" spans="1:5" x14ac:dyDescent="0.35">
      <c r="A86" s="30">
        <v>85</v>
      </c>
      <c r="B86" s="30" t="s">
        <v>138</v>
      </c>
      <c r="C86" s="30" t="s">
        <v>139</v>
      </c>
      <c r="D86" s="30" t="s">
        <v>318</v>
      </c>
      <c r="E86" s="30" t="s">
        <v>233</v>
      </c>
    </row>
    <row r="87" spans="1:5" x14ac:dyDescent="0.35">
      <c r="A87" s="30">
        <v>86</v>
      </c>
      <c r="B87" s="30" t="s">
        <v>138</v>
      </c>
      <c r="C87" s="30" t="s">
        <v>140</v>
      </c>
      <c r="D87" s="30" t="s">
        <v>319</v>
      </c>
      <c r="E87" s="30" t="s">
        <v>233</v>
      </c>
    </row>
    <row r="88" spans="1:5" x14ac:dyDescent="0.35">
      <c r="A88" s="30">
        <v>87</v>
      </c>
      <c r="B88" s="30" t="s">
        <v>138</v>
      </c>
      <c r="C88" s="30" t="s">
        <v>141</v>
      </c>
      <c r="D88" s="30" t="s">
        <v>320</v>
      </c>
      <c r="E88" s="30" t="s">
        <v>236</v>
      </c>
    </row>
    <row r="89" spans="1:5" x14ac:dyDescent="0.35">
      <c r="A89" s="30">
        <v>88</v>
      </c>
      <c r="B89" s="30" t="s">
        <v>142</v>
      </c>
      <c r="C89" s="30" t="s">
        <v>143</v>
      </c>
      <c r="D89" s="30" t="s">
        <v>321</v>
      </c>
      <c r="E89" s="30" t="s">
        <v>233</v>
      </c>
    </row>
    <row r="90" spans="1:5" x14ac:dyDescent="0.35">
      <c r="A90" s="30">
        <v>89</v>
      </c>
      <c r="B90" s="30" t="s">
        <v>142</v>
      </c>
      <c r="C90" s="30" t="s">
        <v>144</v>
      </c>
      <c r="D90" s="30" t="s">
        <v>322</v>
      </c>
      <c r="E90" s="30" t="s">
        <v>233</v>
      </c>
    </row>
    <row r="91" spans="1:5" x14ac:dyDescent="0.35">
      <c r="A91" s="30">
        <v>90</v>
      </c>
      <c r="B91" s="30" t="s">
        <v>142</v>
      </c>
      <c r="C91" s="30" t="s">
        <v>145</v>
      </c>
      <c r="D91" s="30" t="s">
        <v>323</v>
      </c>
      <c r="E91" s="30" t="s">
        <v>236</v>
      </c>
    </row>
  </sheetData>
  <autoFilter ref="A1:D91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31"/>
  <sheetViews>
    <sheetView tabSelected="1" zoomScale="85" zoomScaleNormal="85" workbookViewId="0">
      <pane xSplit="4" ySplit="1" topLeftCell="M107" activePane="bottomRight" state="frozen"/>
      <selection pane="topRight" activeCell="E1" sqref="E1"/>
      <selection pane="bottomLeft" activeCell="A2" sqref="A2"/>
      <selection pane="bottomRight" activeCell="Q124" sqref="Q124"/>
    </sheetView>
  </sheetViews>
  <sheetFormatPr defaultRowHeight="14.5" x14ac:dyDescent="0.35"/>
  <cols>
    <col min="1" max="1" width="5.1796875" bestFit="1" customWidth="1"/>
    <col min="2" max="2" width="16" bestFit="1" customWidth="1"/>
    <col min="3" max="3" width="11.1796875" customWidth="1"/>
    <col min="4" max="4" width="31.54296875" customWidth="1"/>
    <col min="5" max="5" width="16.90625" customWidth="1"/>
    <col min="6" max="12" width="8.7265625" hidden="1" customWidth="1"/>
    <col min="13" max="13" width="8.7265625" style="4" customWidth="1"/>
    <col min="14" max="14" width="12.36328125" bestFit="1" customWidth="1"/>
    <col min="15" max="15" width="9.54296875" bestFit="1" customWidth="1"/>
    <col min="16" max="16" width="22.453125" bestFit="1" customWidth="1"/>
    <col min="17" max="17" width="22.7265625" bestFit="1" customWidth="1"/>
    <col min="18" max="18" width="14.6328125" bestFit="1" customWidth="1"/>
    <col min="19" max="19" width="15.08984375" bestFit="1" customWidth="1"/>
    <col min="20" max="20" width="17.81640625" bestFit="1" customWidth="1"/>
    <col min="21" max="21" width="15.1796875" bestFit="1" customWidth="1"/>
    <col min="22" max="22" width="8.7265625" style="23" customWidth="1"/>
  </cols>
  <sheetData>
    <row r="1" spans="1:22" s="6" customFormat="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19" t="s">
        <v>12</v>
      </c>
      <c r="N1" s="5" t="s">
        <v>13</v>
      </c>
      <c r="O1" s="5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5"/>
    </row>
    <row r="2" spans="1:22" x14ac:dyDescent="0.35">
      <c r="A2">
        <v>1</v>
      </c>
      <c r="B2" t="s">
        <v>21</v>
      </c>
      <c r="C2" t="str">
        <f t="shared" ref="C2:C33" si="0">LEFT(E2,4)</f>
        <v>O-NC</v>
      </c>
      <c r="D2" s="30" t="s">
        <v>22</v>
      </c>
      <c r="E2" s="30" t="s">
        <v>23</v>
      </c>
      <c r="F2">
        <v>1</v>
      </c>
      <c r="G2">
        <v>2</v>
      </c>
      <c r="H2">
        <v>3</v>
      </c>
      <c r="I2">
        <v>4</v>
      </c>
      <c r="J2">
        <v>5</v>
      </c>
      <c r="K2">
        <v>6</v>
      </c>
      <c r="L2">
        <v>7</v>
      </c>
      <c r="M2" s="4">
        <v>4</v>
      </c>
      <c r="N2">
        <f>AVERAGE(M2:M4)</f>
        <v>3.3333333333333335</v>
      </c>
      <c r="O2">
        <f>AVERAGE(M2:M19)</f>
        <v>3.3333333333333335</v>
      </c>
      <c r="P2">
        <f>($O$2-Centroids!F3)^2</f>
        <v>2.7777777777777728E-2</v>
      </c>
      <c r="Q2">
        <f>($O$2-Centroids!G3)^2</f>
        <v>1.3611111111111107</v>
      </c>
      <c r="R2">
        <f>($O$2-Centroids!H3)^2</f>
        <v>1.3611111111111107</v>
      </c>
      <c r="S2">
        <f>($O$2-Centroids!I3)^2</f>
        <v>10.027777777777777</v>
      </c>
      <c r="T2">
        <f>($O$2-Centroids!J3)^2</f>
        <v>0.11111111111111122</v>
      </c>
      <c r="U2">
        <f>($O$2-Centroids!K3)^2</f>
        <v>0.69444444444444464</v>
      </c>
    </row>
    <row r="3" spans="1:22" x14ac:dyDescent="0.35">
      <c r="A3">
        <v>2</v>
      </c>
      <c r="B3" t="s">
        <v>21</v>
      </c>
      <c r="C3" t="str">
        <f t="shared" si="0"/>
        <v>O-NC</v>
      </c>
      <c r="D3" s="30" t="s">
        <v>22</v>
      </c>
      <c r="E3" s="30" t="s">
        <v>24</v>
      </c>
      <c r="F3">
        <v>1</v>
      </c>
      <c r="G3">
        <v>2</v>
      </c>
      <c r="H3">
        <v>3</v>
      </c>
      <c r="I3">
        <v>4</v>
      </c>
      <c r="J3">
        <v>5</v>
      </c>
      <c r="K3">
        <v>6</v>
      </c>
      <c r="L3">
        <v>7</v>
      </c>
      <c r="M3" s="4">
        <v>4</v>
      </c>
    </row>
    <row r="4" spans="1:22" x14ac:dyDescent="0.35">
      <c r="A4">
        <v>3</v>
      </c>
      <c r="B4" t="s">
        <v>21</v>
      </c>
      <c r="C4" t="str">
        <f t="shared" si="0"/>
        <v>O-NC</v>
      </c>
      <c r="D4" s="30" t="s">
        <v>22</v>
      </c>
      <c r="E4" s="30" t="s">
        <v>25</v>
      </c>
      <c r="F4">
        <v>1</v>
      </c>
      <c r="G4">
        <v>2</v>
      </c>
      <c r="H4">
        <v>3</v>
      </c>
      <c r="I4">
        <v>4</v>
      </c>
      <c r="J4">
        <v>5</v>
      </c>
      <c r="K4">
        <v>6</v>
      </c>
      <c r="L4">
        <v>7</v>
      </c>
      <c r="M4" s="4">
        <v>2</v>
      </c>
    </row>
    <row r="5" spans="1:22" x14ac:dyDescent="0.35">
      <c r="A5">
        <v>4</v>
      </c>
      <c r="B5" t="s">
        <v>21</v>
      </c>
      <c r="C5" t="str">
        <f t="shared" si="0"/>
        <v>O-EE</v>
      </c>
      <c r="D5" s="30" t="s">
        <v>26</v>
      </c>
      <c r="E5" s="30" t="s">
        <v>27</v>
      </c>
      <c r="F5">
        <v>1</v>
      </c>
      <c r="G5">
        <v>2</v>
      </c>
      <c r="H5">
        <v>3</v>
      </c>
      <c r="I5">
        <v>4</v>
      </c>
      <c r="J5">
        <v>5</v>
      </c>
      <c r="K5">
        <v>6</v>
      </c>
      <c r="L5">
        <v>7</v>
      </c>
      <c r="M5" s="4">
        <v>4</v>
      </c>
      <c r="N5">
        <f>AVERAGE(M5:M7)</f>
        <v>3.3333333333333335</v>
      </c>
    </row>
    <row r="6" spans="1:22" x14ac:dyDescent="0.35">
      <c r="A6">
        <v>5</v>
      </c>
      <c r="B6" t="s">
        <v>21</v>
      </c>
      <c r="C6" t="str">
        <f t="shared" si="0"/>
        <v>O-EE</v>
      </c>
      <c r="D6" s="30" t="s">
        <v>26</v>
      </c>
      <c r="E6" s="30" t="s">
        <v>28</v>
      </c>
      <c r="F6">
        <v>1</v>
      </c>
      <c r="G6">
        <v>2</v>
      </c>
      <c r="H6">
        <v>3</v>
      </c>
      <c r="I6">
        <v>4</v>
      </c>
      <c r="J6">
        <v>5</v>
      </c>
      <c r="K6">
        <v>6</v>
      </c>
      <c r="L6">
        <v>7</v>
      </c>
      <c r="M6" s="4">
        <v>4</v>
      </c>
    </row>
    <row r="7" spans="1:22" x14ac:dyDescent="0.35">
      <c r="A7">
        <v>6</v>
      </c>
      <c r="B7" t="s">
        <v>21</v>
      </c>
      <c r="C7" t="str">
        <f t="shared" si="0"/>
        <v>O-EE</v>
      </c>
      <c r="D7" s="30" t="s">
        <v>26</v>
      </c>
      <c r="E7" s="30" t="s">
        <v>29</v>
      </c>
      <c r="F7">
        <v>1</v>
      </c>
      <c r="G7">
        <v>2</v>
      </c>
      <c r="H7">
        <v>3</v>
      </c>
      <c r="I7">
        <v>4</v>
      </c>
      <c r="J7">
        <v>5</v>
      </c>
      <c r="K7">
        <v>6</v>
      </c>
      <c r="L7">
        <v>7</v>
      </c>
      <c r="M7" s="4">
        <v>2</v>
      </c>
    </row>
    <row r="8" spans="1:22" x14ac:dyDescent="0.35">
      <c r="A8">
        <v>7</v>
      </c>
      <c r="B8" t="s">
        <v>21</v>
      </c>
      <c r="C8" t="str">
        <f t="shared" si="0"/>
        <v>O-RE</v>
      </c>
      <c r="D8" s="30" t="s">
        <v>30</v>
      </c>
      <c r="E8" s="30" t="s">
        <v>31</v>
      </c>
      <c r="F8">
        <v>1</v>
      </c>
      <c r="G8">
        <v>2</v>
      </c>
      <c r="H8">
        <v>3</v>
      </c>
      <c r="I8">
        <v>4</v>
      </c>
      <c r="J8">
        <v>5</v>
      </c>
      <c r="K8">
        <v>6</v>
      </c>
      <c r="L8">
        <v>7</v>
      </c>
      <c r="M8" s="4">
        <v>4</v>
      </c>
      <c r="N8">
        <f>AVERAGE(M8:M10)</f>
        <v>3.3333333333333335</v>
      </c>
    </row>
    <row r="9" spans="1:22" x14ac:dyDescent="0.35">
      <c r="A9">
        <v>8</v>
      </c>
      <c r="B9" t="s">
        <v>21</v>
      </c>
      <c r="C9" t="str">
        <f t="shared" si="0"/>
        <v>O-RE</v>
      </c>
      <c r="D9" s="30" t="s">
        <v>30</v>
      </c>
      <c r="E9" s="30" t="s">
        <v>32</v>
      </c>
      <c r="F9">
        <v>1</v>
      </c>
      <c r="G9">
        <v>2</v>
      </c>
      <c r="H9">
        <v>3</v>
      </c>
      <c r="I9">
        <v>4</v>
      </c>
      <c r="J9">
        <v>5</v>
      </c>
      <c r="K9">
        <v>6</v>
      </c>
      <c r="L9">
        <v>7</v>
      </c>
      <c r="M9" s="4">
        <v>4</v>
      </c>
    </row>
    <row r="10" spans="1:22" x14ac:dyDescent="0.35">
      <c r="A10">
        <v>9</v>
      </c>
      <c r="B10" t="s">
        <v>21</v>
      </c>
      <c r="C10" t="str">
        <f t="shared" si="0"/>
        <v>O-RE</v>
      </c>
      <c r="D10" s="30" t="s">
        <v>30</v>
      </c>
      <c r="E10" s="30" t="s">
        <v>33</v>
      </c>
      <c r="F10">
        <v>1</v>
      </c>
      <c r="G10">
        <v>2</v>
      </c>
      <c r="H10">
        <v>3</v>
      </c>
      <c r="I10">
        <v>4</v>
      </c>
      <c r="J10">
        <v>5</v>
      </c>
      <c r="K10">
        <v>6</v>
      </c>
      <c r="L10">
        <v>7</v>
      </c>
      <c r="M10" s="4">
        <v>2</v>
      </c>
    </row>
    <row r="11" spans="1:22" x14ac:dyDescent="0.35">
      <c r="A11">
        <v>10</v>
      </c>
      <c r="B11" t="s">
        <v>21</v>
      </c>
      <c r="C11" t="str">
        <f t="shared" si="0"/>
        <v>O-ME</v>
      </c>
      <c r="D11" s="30" t="s">
        <v>34</v>
      </c>
      <c r="E11" s="30" t="s">
        <v>35</v>
      </c>
      <c r="F11">
        <v>1</v>
      </c>
      <c r="G11">
        <v>2</v>
      </c>
      <c r="H11">
        <v>3</v>
      </c>
      <c r="I11">
        <v>4</v>
      </c>
      <c r="J11">
        <v>5</v>
      </c>
      <c r="K11">
        <v>6</v>
      </c>
      <c r="L11">
        <v>7</v>
      </c>
      <c r="M11" s="4">
        <v>4</v>
      </c>
      <c r="N11">
        <f>AVERAGE(M11:M13)</f>
        <v>3.3333333333333335</v>
      </c>
    </row>
    <row r="12" spans="1:22" x14ac:dyDescent="0.35">
      <c r="A12">
        <v>11</v>
      </c>
      <c r="B12" t="s">
        <v>21</v>
      </c>
      <c r="C12" t="str">
        <f t="shared" si="0"/>
        <v>O-ME</v>
      </c>
      <c r="D12" s="30" t="s">
        <v>34</v>
      </c>
      <c r="E12" s="30" t="s">
        <v>36</v>
      </c>
      <c r="F12">
        <v>1</v>
      </c>
      <c r="G12">
        <v>2</v>
      </c>
      <c r="H12">
        <v>3</v>
      </c>
      <c r="I12">
        <v>4</v>
      </c>
      <c r="J12">
        <v>5</v>
      </c>
      <c r="K12">
        <v>6</v>
      </c>
      <c r="L12">
        <v>7</v>
      </c>
      <c r="M12" s="4">
        <v>4</v>
      </c>
    </row>
    <row r="13" spans="1:22" x14ac:dyDescent="0.35">
      <c r="A13">
        <v>12</v>
      </c>
      <c r="B13" t="s">
        <v>21</v>
      </c>
      <c r="C13" t="str">
        <f t="shared" si="0"/>
        <v>O-ME</v>
      </c>
      <c r="D13" s="30" t="s">
        <v>34</v>
      </c>
      <c r="E13" s="30" t="s">
        <v>37</v>
      </c>
      <c r="F13">
        <v>1</v>
      </c>
      <c r="G13">
        <v>2</v>
      </c>
      <c r="H13">
        <v>3</v>
      </c>
      <c r="I13">
        <v>4</v>
      </c>
      <c r="J13">
        <v>5</v>
      </c>
      <c r="K13">
        <v>6</v>
      </c>
      <c r="L13">
        <v>7</v>
      </c>
      <c r="M13" s="4">
        <v>2</v>
      </c>
    </row>
    <row r="14" spans="1:22" x14ac:dyDescent="0.35">
      <c r="A14">
        <v>13</v>
      </c>
      <c r="B14" t="s">
        <v>21</v>
      </c>
      <c r="C14" t="str">
        <f t="shared" si="0"/>
        <v>O-WL</v>
      </c>
      <c r="D14" s="30" t="s">
        <v>38</v>
      </c>
      <c r="E14" s="30" t="s">
        <v>39</v>
      </c>
      <c r="F14">
        <v>1</v>
      </c>
      <c r="G14">
        <v>2</v>
      </c>
      <c r="H14">
        <v>3</v>
      </c>
      <c r="I14">
        <v>4</v>
      </c>
      <c r="J14">
        <v>5</v>
      </c>
      <c r="K14">
        <v>6</v>
      </c>
      <c r="L14">
        <v>7</v>
      </c>
      <c r="M14" s="4">
        <v>4</v>
      </c>
      <c r="N14">
        <f>AVERAGE(M14:M16)</f>
        <v>3.3333333333333335</v>
      </c>
    </row>
    <row r="15" spans="1:22" x14ac:dyDescent="0.35">
      <c r="A15">
        <v>14</v>
      </c>
      <c r="B15" t="s">
        <v>21</v>
      </c>
      <c r="C15" t="str">
        <f t="shared" si="0"/>
        <v>O-WL</v>
      </c>
      <c r="D15" s="30" t="s">
        <v>38</v>
      </c>
      <c r="E15" s="30" t="s">
        <v>40</v>
      </c>
      <c r="F15">
        <v>1</v>
      </c>
      <c r="G15">
        <v>2</v>
      </c>
      <c r="H15">
        <v>3</v>
      </c>
      <c r="I15">
        <v>4</v>
      </c>
      <c r="J15">
        <v>5</v>
      </c>
      <c r="K15">
        <v>6</v>
      </c>
      <c r="L15">
        <v>7</v>
      </c>
      <c r="M15" s="4">
        <v>4</v>
      </c>
    </row>
    <row r="16" spans="1:22" x14ac:dyDescent="0.35">
      <c r="A16">
        <v>15</v>
      </c>
      <c r="B16" t="s">
        <v>21</v>
      </c>
      <c r="C16" t="str">
        <f t="shared" si="0"/>
        <v>O-WL</v>
      </c>
      <c r="D16" s="30" t="s">
        <v>38</v>
      </c>
      <c r="E16" s="30" t="s">
        <v>41</v>
      </c>
      <c r="F16">
        <v>1</v>
      </c>
      <c r="G16">
        <v>2</v>
      </c>
      <c r="H16">
        <v>3</v>
      </c>
      <c r="I16">
        <v>4</v>
      </c>
      <c r="J16">
        <v>5</v>
      </c>
      <c r="K16">
        <v>6</v>
      </c>
      <c r="L16">
        <v>7</v>
      </c>
      <c r="M16" s="4">
        <v>2</v>
      </c>
    </row>
    <row r="17" spans="1:22" s="18" customFormat="1" x14ac:dyDescent="0.35">
      <c r="A17">
        <v>16</v>
      </c>
      <c r="B17" t="s">
        <v>21</v>
      </c>
      <c r="C17" t="str">
        <f t="shared" si="0"/>
        <v>O-WA</v>
      </c>
      <c r="D17" s="30" t="s">
        <v>42</v>
      </c>
      <c r="E17" s="30" t="s">
        <v>43</v>
      </c>
      <c r="F17">
        <v>1</v>
      </c>
      <c r="G17">
        <v>2</v>
      </c>
      <c r="H17">
        <v>3</v>
      </c>
      <c r="I17">
        <v>4</v>
      </c>
      <c r="J17">
        <v>5</v>
      </c>
      <c r="K17">
        <v>6</v>
      </c>
      <c r="L17">
        <v>7</v>
      </c>
      <c r="M17" s="4">
        <v>4</v>
      </c>
      <c r="N17">
        <f>AVERAGE(M17:M19)</f>
        <v>3.3333333333333335</v>
      </c>
      <c r="V17" s="26"/>
    </row>
    <row r="18" spans="1:22" s="18" customFormat="1" x14ac:dyDescent="0.35">
      <c r="A18">
        <v>17</v>
      </c>
      <c r="B18" t="s">
        <v>21</v>
      </c>
      <c r="C18" t="str">
        <f t="shared" si="0"/>
        <v>O-WA</v>
      </c>
      <c r="D18" s="30" t="s">
        <v>42</v>
      </c>
      <c r="E18" s="30" t="s">
        <v>44</v>
      </c>
      <c r="F18">
        <v>1</v>
      </c>
      <c r="G18">
        <v>2</v>
      </c>
      <c r="H18">
        <v>3</v>
      </c>
      <c r="I18">
        <v>4</v>
      </c>
      <c r="J18">
        <v>5</v>
      </c>
      <c r="K18">
        <v>6</v>
      </c>
      <c r="L18">
        <v>7</v>
      </c>
      <c r="M18" s="4">
        <v>4</v>
      </c>
      <c r="V18" s="26"/>
    </row>
    <row r="19" spans="1:22" x14ac:dyDescent="0.35">
      <c r="A19">
        <v>18</v>
      </c>
      <c r="B19" t="s">
        <v>21</v>
      </c>
      <c r="C19" t="str">
        <f t="shared" si="0"/>
        <v>O-WA</v>
      </c>
      <c r="D19" s="30" t="s">
        <v>42</v>
      </c>
      <c r="E19" s="30" t="s">
        <v>45</v>
      </c>
      <c r="F19">
        <v>1</v>
      </c>
      <c r="G19">
        <v>2</v>
      </c>
      <c r="H19">
        <v>3</v>
      </c>
      <c r="I19">
        <v>4</v>
      </c>
      <c r="J19">
        <v>5</v>
      </c>
      <c r="K19">
        <v>6</v>
      </c>
      <c r="L19">
        <v>7</v>
      </c>
      <c r="M19" s="4">
        <v>2</v>
      </c>
    </row>
    <row r="20" spans="1:22" x14ac:dyDescent="0.35">
      <c r="A20">
        <v>19</v>
      </c>
      <c r="B20" t="s">
        <v>46</v>
      </c>
      <c r="C20" t="str">
        <f t="shared" si="0"/>
        <v>C-MP</v>
      </c>
      <c r="D20" s="30" t="s">
        <v>47</v>
      </c>
      <c r="E20" s="30" t="s">
        <v>48</v>
      </c>
      <c r="F20">
        <v>1</v>
      </c>
      <c r="G20">
        <v>2</v>
      </c>
      <c r="H20">
        <v>3</v>
      </c>
      <c r="I20">
        <v>4</v>
      </c>
      <c r="J20">
        <v>5</v>
      </c>
      <c r="K20">
        <v>6</v>
      </c>
      <c r="L20">
        <v>7</v>
      </c>
      <c r="M20" s="4">
        <v>6</v>
      </c>
      <c r="N20">
        <f>AVERAGE(M20:M22)</f>
        <v>4.666666666666667</v>
      </c>
      <c r="O20">
        <f>AVERAGE(N20:N35)</f>
        <v>4.666666666666667</v>
      </c>
      <c r="P20">
        <f>($O$20-Centroids!F4)^2</f>
        <v>3.3611111111111098</v>
      </c>
      <c r="Q20">
        <f>($O$20-Centroids!G4)^2</f>
        <v>0.28444444444444433</v>
      </c>
      <c r="R20">
        <f>($O$20-Centroids!H4)^2</f>
        <v>3.484444444444446</v>
      </c>
      <c r="S20">
        <f>($O$20-Centroids!I4)^2</f>
        <v>4.6944444444444455</v>
      </c>
      <c r="T20">
        <f>($O$20-Centroids!J4)^2</f>
        <v>1.2844444444444434</v>
      </c>
      <c r="U20">
        <f>($O$20-Centroids!K4)^2</f>
        <v>4.6944444444444455</v>
      </c>
    </row>
    <row r="21" spans="1:22" x14ac:dyDescent="0.35">
      <c r="A21">
        <v>20</v>
      </c>
      <c r="B21" t="s">
        <v>46</v>
      </c>
      <c r="C21" t="str">
        <f t="shared" si="0"/>
        <v>C-MP</v>
      </c>
      <c r="D21" s="30" t="s">
        <v>47</v>
      </c>
      <c r="E21" s="30" t="s">
        <v>49</v>
      </c>
      <c r="F21">
        <v>1</v>
      </c>
      <c r="G21">
        <v>2</v>
      </c>
      <c r="H21">
        <v>3</v>
      </c>
      <c r="I21">
        <v>4</v>
      </c>
      <c r="J21">
        <v>5</v>
      </c>
      <c r="K21">
        <v>6</v>
      </c>
      <c r="L21">
        <v>7</v>
      </c>
      <c r="M21" s="4">
        <v>7</v>
      </c>
    </row>
    <row r="22" spans="1:22" x14ac:dyDescent="0.35">
      <c r="A22">
        <v>21</v>
      </c>
      <c r="B22" t="s">
        <v>46</v>
      </c>
      <c r="C22" t="str">
        <f t="shared" si="0"/>
        <v>C-MP</v>
      </c>
      <c r="D22" s="30" t="s">
        <v>47</v>
      </c>
      <c r="E22" s="30" t="s">
        <v>50</v>
      </c>
      <c r="F22">
        <v>1</v>
      </c>
      <c r="G22">
        <v>2</v>
      </c>
      <c r="H22">
        <v>3</v>
      </c>
      <c r="I22">
        <v>4</v>
      </c>
      <c r="J22">
        <v>5</v>
      </c>
      <c r="K22">
        <v>6</v>
      </c>
      <c r="L22">
        <v>7</v>
      </c>
      <c r="M22" s="4">
        <v>1</v>
      </c>
    </row>
    <row r="23" spans="1:22" x14ac:dyDescent="0.35">
      <c r="A23">
        <v>22</v>
      </c>
      <c r="B23" t="s">
        <v>46</v>
      </c>
      <c r="C23" t="str">
        <f t="shared" si="0"/>
        <v>C-WA</v>
      </c>
      <c r="D23" s="30" t="s">
        <v>51</v>
      </c>
      <c r="E23" s="30" t="s">
        <v>52</v>
      </c>
      <c r="F23">
        <v>1</v>
      </c>
      <c r="G23">
        <v>2</v>
      </c>
      <c r="H23">
        <v>3</v>
      </c>
      <c r="I23">
        <v>4</v>
      </c>
      <c r="J23">
        <v>5</v>
      </c>
      <c r="K23">
        <v>6</v>
      </c>
      <c r="L23">
        <v>7</v>
      </c>
      <c r="M23" s="4">
        <v>6</v>
      </c>
      <c r="N23">
        <f>AVERAGE(M23:M25)</f>
        <v>4.666666666666667</v>
      </c>
      <c r="O23" s="18"/>
      <c r="P23" s="18"/>
      <c r="Q23" s="18"/>
      <c r="R23" s="18"/>
      <c r="S23" s="18"/>
      <c r="T23" s="18"/>
      <c r="U23" s="18"/>
    </row>
    <row r="24" spans="1:22" x14ac:dyDescent="0.35">
      <c r="A24">
        <v>23</v>
      </c>
      <c r="B24" t="s">
        <v>46</v>
      </c>
      <c r="C24" t="str">
        <f t="shared" si="0"/>
        <v>C-WA</v>
      </c>
      <c r="D24" s="30" t="s">
        <v>51</v>
      </c>
      <c r="E24" s="30" t="s">
        <v>53</v>
      </c>
      <c r="F24">
        <v>1</v>
      </c>
      <c r="G24">
        <v>2</v>
      </c>
      <c r="H24">
        <v>3</v>
      </c>
      <c r="I24">
        <v>4</v>
      </c>
      <c r="J24">
        <v>5</v>
      </c>
      <c r="K24">
        <v>6</v>
      </c>
      <c r="L24">
        <v>7</v>
      </c>
      <c r="M24" s="4">
        <v>7</v>
      </c>
      <c r="O24" s="18"/>
      <c r="P24" s="18"/>
      <c r="Q24" s="18"/>
      <c r="R24" s="18"/>
      <c r="S24" s="18"/>
      <c r="T24" s="18"/>
      <c r="U24" s="18"/>
    </row>
    <row r="25" spans="1:22" x14ac:dyDescent="0.35">
      <c r="A25">
        <v>24</v>
      </c>
      <c r="B25" t="s">
        <v>46</v>
      </c>
      <c r="C25" t="str">
        <f t="shared" si="0"/>
        <v>C-WA</v>
      </c>
      <c r="D25" s="30" t="s">
        <v>51</v>
      </c>
      <c r="E25" s="30" t="s">
        <v>54</v>
      </c>
      <c r="F25">
        <v>1</v>
      </c>
      <c r="G25">
        <v>2</v>
      </c>
      <c r="H25">
        <v>3</v>
      </c>
      <c r="I25">
        <v>4</v>
      </c>
      <c r="J25">
        <v>5</v>
      </c>
      <c r="K25">
        <v>6</v>
      </c>
      <c r="L25">
        <v>7</v>
      </c>
      <c r="M25" s="4">
        <v>1</v>
      </c>
    </row>
    <row r="26" spans="1:22" x14ac:dyDescent="0.35">
      <c r="A26">
        <v>25</v>
      </c>
      <c r="B26" t="s">
        <v>46</v>
      </c>
      <c r="C26" t="str">
        <f t="shared" si="0"/>
        <v>C-SR</v>
      </c>
      <c r="D26" s="30" t="s">
        <v>55</v>
      </c>
      <c r="E26" s="30" t="s">
        <v>56</v>
      </c>
      <c r="F26">
        <v>1</v>
      </c>
      <c r="G26">
        <v>2</v>
      </c>
      <c r="H26">
        <v>3</v>
      </c>
      <c r="I26">
        <v>4</v>
      </c>
      <c r="J26">
        <v>5</v>
      </c>
      <c r="K26">
        <v>6</v>
      </c>
      <c r="L26">
        <v>7</v>
      </c>
      <c r="M26" s="4">
        <v>6</v>
      </c>
      <c r="N26">
        <f>AVERAGE(M26:M28)</f>
        <v>4.666666666666667</v>
      </c>
    </row>
    <row r="27" spans="1:22" x14ac:dyDescent="0.35">
      <c r="A27">
        <v>26</v>
      </c>
      <c r="B27" t="s">
        <v>46</v>
      </c>
      <c r="C27" t="str">
        <f t="shared" si="0"/>
        <v>C-SR</v>
      </c>
      <c r="D27" s="30" t="s">
        <v>55</v>
      </c>
      <c r="E27" s="30" t="s">
        <v>57</v>
      </c>
      <c r="F27">
        <v>1</v>
      </c>
      <c r="G27">
        <v>2</v>
      </c>
      <c r="H27">
        <v>3</v>
      </c>
      <c r="I27">
        <v>4</v>
      </c>
      <c r="J27">
        <v>5</v>
      </c>
      <c r="K27">
        <v>6</v>
      </c>
      <c r="L27">
        <v>7</v>
      </c>
      <c r="M27" s="4">
        <v>7</v>
      </c>
    </row>
    <row r="28" spans="1:22" x14ac:dyDescent="0.35">
      <c r="A28">
        <v>27</v>
      </c>
      <c r="B28" t="s">
        <v>46</v>
      </c>
      <c r="C28" t="str">
        <f t="shared" si="0"/>
        <v>C-SR</v>
      </c>
      <c r="D28" s="30" t="s">
        <v>55</v>
      </c>
      <c r="E28" s="30" t="s">
        <v>58</v>
      </c>
      <c r="F28">
        <v>1</v>
      </c>
      <c r="G28">
        <v>2</v>
      </c>
      <c r="H28">
        <v>3</v>
      </c>
      <c r="I28">
        <v>4</v>
      </c>
      <c r="J28">
        <v>5</v>
      </c>
      <c r="K28">
        <v>6</v>
      </c>
      <c r="L28">
        <v>7</v>
      </c>
      <c r="M28" s="4">
        <v>1</v>
      </c>
    </row>
    <row r="29" spans="1:22" x14ac:dyDescent="0.35">
      <c r="A29">
        <v>28</v>
      </c>
      <c r="B29" t="s">
        <v>46</v>
      </c>
      <c r="C29" t="str">
        <f t="shared" si="0"/>
        <v>C-PT</v>
      </c>
      <c r="D29" s="30" t="s">
        <v>59</v>
      </c>
      <c r="E29" s="30" t="s">
        <v>60</v>
      </c>
      <c r="F29">
        <v>1</v>
      </c>
      <c r="G29">
        <v>2</v>
      </c>
      <c r="H29">
        <v>3</v>
      </c>
      <c r="I29">
        <v>4</v>
      </c>
      <c r="J29">
        <v>5</v>
      </c>
      <c r="K29">
        <v>6</v>
      </c>
      <c r="L29">
        <v>7</v>
      </c>
      <c r="M29" s="4">
        <v>6</v>
      </c>
      <c r="N29">
        <f>AVERAGE(M29:M31)</f>
        <v>4.666666666666667</v>
      </c>
    </row>
    <row r="30" spans="1:22" x14ac:dyDescent="0.35">
      <c r="A30">
        <v>29</v>
      </c>
      <c r="B30" t="s">
        <v>46</v>
      </c>
      <c r="C30" t="str">
        <f t="shared" si="0"/>
        <v>C-PT</v>
      </c>
      <c r="D30" s="30" t="s">
        <v>59</v>
      </c>
      <c r="E30" s="30" t="s">
        <v>61</v>
      </c>
      <c r="F30">
        <v>1</v>
      </c>
      <c r="G30">
        <v>2</v>
      </c>
      <c r="H30">
        <v>3</v>
      </c>
      <c r="I30">
        <v>4</v>
      </c>
      <c r="J30">
        <v>5</v>
      </c>
      <c r="K30">
        <v>6</v>
      </c>
      <c r="L30">
        <v>7</v>
      </c>
      <c r="M30" s="4">
        <v>7</v>
      </c>
    </row>
    <row r="31" spans="1:22" s="1" customFormat="1" x14ac:dyDescent="0.35">
      <c r="A31">
        <v>30</v>
      </c>
      <c r="B31" t="s">
        <v>46</v>
      </c>
      <c r="C31" t="str">
        <f t="shared" si="0"/>
        <v>C-PT</v>
      </c>
      <c r="D31" s="30" t="s">
        <v>59</v>
      </c>
      <c r="E31" s="30" t="s">
        <v>62</v>
      </c>
      <c r="F31">
        <v>1</v>
      </c>
      <c r="G31">
        <v>2</v>
      </c>
      <c r="H31">
        <v>3</v>
      </c>
      <c r="I31">
        <v>4</v>
      </c>
      <c r="J31">
        <v>5</v>
      </c>
      <c r="K31">
        <v>6</v>
      </c>
      <c r="L31">
        <v>7</v>
      </c>
      <c r="M31" s="4">
        <v>1</v>
      </c>
      <c r="V31" s="27"/>
    </row>
    <row r="32" spans="1:22" s="1" customFormat="1" x14ac:dyDescent="0.35">
      <c r="A32">
        <v>31</v>
      </c>
      <c r="B32" t="s">
        <v>46</v>
      </c>
      <c r="C32" t="str">
        <f t="shared" si="0"/>
        <v>C-IC</v>
      </c>
      <c r="D32" s="30" t="s">
        <v>63</v>
      </c>
      <c r="E32" s="30" t="s">
        <v>64</v>
      </c>
      <c r="F32">
        <v>1</v>
      </c>
      <c r="G32">
        <v>2</v>
      </c>
      <c r="H32">
        <v>3</v>
      </c>
      <c r="I32">
        <v>4</v>
      </c>
      <c r="J32">
        <v>5</v>
      </c>
      <c r="K32">
        <v>6</v>
      </c>
      <c r="L32">
        <v>7</v>
      </c>
      <c r="M32" s="4">
        <v>6</v>
      </c>
      <c r="N32">
        <f>AVERAGE(M32:M34)</f>
        <v>4.666666666666667</v>
      </c>
      <c r="V32" s="27"/>
    </row>
    <row r="33" spans="1:21" x14ac:dyDescent="0.35">
      <c r="A33">
        <v>32</v>
      </c>
      <c r="B33" t="s">
        <v>46</v>
      </c>
      <c r="C33" t="str">
        <f t="shared" si="0"/>
        <v>C-IC</v>
      </c>
      <c r="D33" s="30" t="s">
        <v>63</v>
      </c>
      <c r="E33" s="30" t="s">
        <v>65</v>
      </c>
      <c r="F33">
        <v>1</v>
      </c>
      <c r="G33">
        <v>2</v>
      </c>
      <c r="H33">
        <v>3</v>
      </c>
      <c r="I33">
        <v>4</v>
      </c>
      <c r="J33">
        <v>5</v>
      </c>
      <c r="K33">
        <v>6</v>
      </c>
      <c r="L33">
        <v>7</v>
      </c>
      <c r="M33" s="4">
        <v>7</v>
      </c>
    </row>
    <row r="34" spans="1:21" x14ac:dyDescent="0.35">
      <c r="A34">
        <v>33</v>
      </c>
      <c r="B34" t="s">
        <v>46</v>
      </c>
      <c r="C34" t="str">
        <f t="shared" ref="C34:C65" si="1">LEFT(E34,4)</f>
        <v>C-IC</v>
      </c>
      <c r="D34" s="30" t="s">
        <v>63</v>
      </c>
      <c r="E34" s="30" t="s">
        <v>66</v>
      </c>
      <c r="F34">
        <v>1</v>
      </c>
      <c r="G34">
        <v>2</v>
      </c>
      <c r="H34">
        <v>3</v>
      </c>
      <c r="I34">
        <v>4</v>
      </c>
      <c r="J34">
        <v>5</v>
      </c>
      <c r="K34">
        <v>6</v>
      </c>
      <c r="L34">
        <v>7</v>
      </c>
      <c r="M34" s="4">
        <v>1</v>
      </c>
    </row>
    <row r="35" spans="1:21" x14ac:dyDescent="0.35">
      <c r="A35">
        <v>34</v>
      </c>
      <c r="B35" t="s">
        <v>46</v>
      </c>
      <c r="C35" t="str">
        <f t="shared" si="1"/>
        <v>C-RD</v>
      </c>
      <c r="D35" s="30" t="s">
        <v>67</v>
      </c>
      <c r="E35" s="30" t="s">
        <v>68</v>
      </c>
      <c r="F35">
        <v>1</v>
      </c>
      <c r="G35">
        <v>2</v>
      </c>
      <c r="H35">
        <v>3</v>
      </c>
      <c r="I35">
        <v>4</v>
      </c>
      <c r="J35">
        <v>5</v>
      </c>
      <c r="K35">
        <v>6</v>
      </c>
      <c r="L35">
        <v>7</v>
      </c>
      <c r="M35" s="4">
        <v>6</v>
      </c>
      <c r="N35">
        <f>AVERAGE(M35:M37)</f>
        <v>4.666666666666667</v>
      </c>
    </row>
    <row r="36" spans="1:21" x14ac:dyDescent="0.35">
      <c r="A36">
        <v>35</v>
      </c>
      <c r="B36" t="s">
        <v>46</v>
      </c>
      <c r="C36" t="str">
        <f t="shared" si="1"/>
        <v>C-RD</v>
      </c>
      <c r="D36" s="30" t="s">
        <v>67</v>
      </c>
      <c r="E36" s="30" t="s">
        <v>69</v>
      </c>
      <c r="F36">
        <v>1</v>
      </c>
      <c r="G36">
        <v>2</v>
      </c>
      <c r="H36">
        <v>3</v>
      </c>
      <c r="I36">
        <v>4</v>
      </c>
      <c r="J36">
        <v>5</v>
      </c>
      <c r="K36">
        <v>6</v>
      </c>
      <c r="L36">
        <v>7</v>
      </c>
      <c r="M36" s="4">
        <v>7</v>
      </c>
    </row>
    <row r="37" spans="1:21" x14ac:dyDescent="0.35">
      <c r="A37">
        <v>36</v>
      </c>
      <c r="B37" t="s">
        <v>46</v>
      </c>
      <c r="C37" t="str">
        <f t="shared" si="1"/>
        <v>C-RD</v>
      </c>
      <c r="D37" s="30" t="s">
        <v>67</v>
      </c>
      <c r="E37" s="30" t="s">
        <v>70</v>
      </c>
      <c r="F37">
        <v>1</v>
      </c>
      <c r="G37">
        <v>2</v>
      </c>
      <c r="H37">
        <v>3</v>
      </c>
      <c r="I37">
        <v>4</v>
      </c>
      <c r="J37">
        <v>5</v>
      </c>
      <c r="K37">
        <v>6</v>
      </c>
      <c r="L37">
        <v>7</v>
      </c>
      <c r="M37" s="4">
        <v>1</v>
      </c>
    </row>
    <row r="38" spans="1:21" x14ac:dyDescent="0.35">
      <c r="A38">
        <v>37</v>
      </c>
      <c r="B38" t="s">
        <v>71</v>
      </c>
      <c r="C38" t="str">
        <f t="shared" si="1"/>
        <v>E-SW</v>
      </c>
      <c r="D38" s="30" t="s">
        <v>72</v>
      </c>
      <c r="E38" s="30" t="s">
        <v>73</v>
      </c>
      <c r="F38">
        <v>1</v>
      </c>
      <c r="G38">
        <v>2</v>
      </c>
      <c r="H38">
        <v>3</v>
      </c>
      <c r="I38">
        <v>4</v>
      </c>
      <c r="J38">
        <v>5</v>
      </c>
      <c r="K38">
        <v>6</v>
      </c>
      <c r="L38">
        <v>7</v>
      </c>
      <c r="M38" s="4">
        <v>4</v>
      </c>
      <c r="N38">
        <f>AVERAGE(M38:M40)</f>
        <v>3.6666666666666665</v>
      </c>
      <c r="O38">
        <f>AVERAGE(N38:N53)</f>
        <v>3.6666666666666665</v>
      </c>
      <c r="P38">
        <f>($O$38-Centroids!F5)^2</f>
        <v>0.87111111111111073</v>
      </c>
      <c r="Q38">
        <f>($O$38-Centroids!G5)^2</f>
        <v>8.0277777777777786</v>
      </c>
      <c r="R38">
        <f>($O$38-Centroids!H5)^2</f>
        <v>0.75111111111111117</v>
      </c>
      <c r="S38">
        <f>($O$38-Centroids!I5)^2</f>
        <v>3.3611111111111116</v>
      </c>
      <c r="T38">
        <f>($O$38-Centroids!J5)^2</f>
        <v>0.44444444444444425</v>
      </c>
      <c r="U38">
        <f>($O$38-Centroids!K5)^2</f>
        <v>2.7777777777777772</v>
      </c>
    </row>
    <row r="39" spans="1:21" x14ac:dyDescent="0.35">
      <c r="A39">
        <v>38</v>
      </c>
      <c r="B39" t="s">
        <v>71</v>
      </c>
      <c r="C39" t="str">
        <f t="shared" si="1"/>
        <v>E-SW</v>
      </c>
      <c r="D39" s="30" t="s">
        <v>72</v>
      </c>
      <c r="E39" s="30" t="s">
        <v>74</v>
      </c>
      <c r="F39">
        <v>1</v>
      </c>
      <c r="G39">
        <v>2</v>
      </c>
      <c r="H39">
        <v>3</v>
      </c>
      <c r="I39">
        <v>4</v>
      </c>
      <c r="J39">
        <v>5</v>
      </c>
      <c r="K39">
        <v>6</v>
      </c>
      <c r="L39">
        <v>7</v>
      </c>
      <c r="M39" s="4">
        <v>5</v>
      </c>
    </row>
    <row r="40" spans="1:21" x14ac:dyDescent="0.35">
      <c r="A40">
        <v>39</v>
      </c>
      <c r="B40" t="s">
        <v>71</v>
      </c>
      <c r="C40" t="str">
        <f t="shared" si="1"/>
        <v>E-SW</v>
      </c>
      <c r="D40" s="30" t="s">
        <v>72</v>
      </c>
      <c r="E40" s="30" t="s">
        <v>75</v>
      </c>
      <c r="F40">
        <v>1</v>
      </c>
      <c r="G40">
        <v>2</v>
      </c>
      <c r="H40">
        <v>3</v>
      </c>
      <c r="I40">
        <v>4</v>
      </c>
      <c r="J40">
        <v>5</v>
      </c>
      <c r="K40">
        <v>6</v>
      </c>
      <c r="L40">
        <v>7</v>
      </c>
      <c r="M40" s="4">
        <v>2</v>
      </c>
    </row>
    <row r="41" spans="1:21" x14ac:dyDescent="0.35">
      <c r="A41">
        <v>40</v>
      </c>
      <c r="B41" t="s">
        <v>71</v>
      </c>
      <c r="C41" t="str">
        <f t="shared" si="1"/>
        <v>E-WS</v>
      </c>
      <c r="D41" s="30" t="s">
        <v>76</v>
      </c>
      <c r="E41" s="30" t="s">
        <v>77</v>
      </c>
      <c r="F41">
        <v>1</v>
      </c>
      <c r="G41">
        <v>2</v>
      </c>
      <c r="H41">
        <v>3</v>
      </c>
      <c r="I41">
        <v>4</v>
      </c>
      <c r="J41">
        <v>5</v>
      </c>
      <c r="K41">
        <v>6</v>
      </c>
      <c r="L41">
        <v>7</v>
      </c>
      <c r="M41" s="4">
        <v>4</v>
      </c>
      <c r="N41">
        <f>AVERAGE(M41:M43)</f>
        <v>3.6666666666666665</v>
      </c>
    </row>
    <row r="42" spans="1:21" x14ac:dyDescent="0.35">
      <c r="A42">
        <v>41</v>
      </c>
      <c r="B42" t="s">
        <v>71</v>
      </c>
      <c r="C42" t="str">
        <f t="shared" si="1"/>
        <v>E-WS</v>
      </c>
      <c r="D42" s="30" t="s">
        <v>76</v>
      </c>
      <c r="E42" s="30" t="s">
        <v>78</v>
      </c>
      <c r="F42">
        <v>1</v>
      </c>
      <c r="G42">
        <v>2</v>
      </c>
      <c r="H42">
        <v>3</v>
      </c>
      <c r="I42">
        <v>4</v>
      </c>
      <c r="J42">
        <v>5</v>
      </c>
      <c r="K42">
        <v>6</v>
      </c>
      <c r="L42">
        <v>7</v>
      </c>
      <c r="M42" s="4">
        <v>5</v>
      </c>
    </row>
    <row r="43" spans="1:21" x14ac:dyDescent="0.35">
      <c r="A43">
        <v>42</v>
      </c>
      <c r="B43" t="s">
        <v>71</v>
      </c>
      <c r="C43" t="str">
        <f t="shared" si="1"/>
        <v>E-WS</v>
      </c>
      <c r="D43" s="30" t="s">
        <v>76</v>
      </c>
      <c r="E43" s="30" t="s">
        <v>79</v>
      </c>
      <c r="F43">
        <v>1</v>
      </c>
      <c r="G43">
        <v>2</v>
      </c>
      <c r="H43">
        <v>3</v>
      </c>
      <c r="I43">
        <v>4</v>
      </c>
      <c r="J43">
        <v>5</v>
      </c>
      <c r="K43">
        <v>6</v>
      </c>
      <c r="L43">
        <v>7</v>
      </c>
      <c r="M43" s="4">
        <v>2</v>
      </c>
    </row>
    <row r="44" spans="1:21" x14ac:dyDescent="0.35">
      <c r="A44">
        <v>43</v>
      </c>
      <c r="B44" t="s">
        <v>71</v>
      </c>
      <c r="C44" t="str">
        <f t="shared" si="1"/>
        <v>E-HC</v>
      </c>
      <c r="D44" s="30" t="s">
        <v>80</v>
      </c>
      <c r="E44" s="30" t="s">
        <v>81</v>
      </c>
      <c r="F44">
        <v>1</v>
      </c>
      <c r="G44">
        <v>2</v>
      </c>
      <c r="H44">
        <v>3</v>
      </c>
      <c r="I44">
        <v>4</v>
      </c>
      <c r="J44">
        <v>5</v>
      </c>
      <c r="K44">
        <v>6</v>
      </c>
      <c r="L44">
        <v>7</v>
      </c>
      <c r="M44" s="4">
        <v>4</v>
      </c>
      <c r="N44">
        <f>AVERAGE(M44:M46)</f>
        <v>3.6666666666666665</v>
      </c>
    </row>
    <row r="45" spans="1:21" x14ac:dyDescent="0.35">
      <c r="A45">
        <v>44</v>
      </c>
      <c r="B45" t="s">
        <v>71</v>
      </c>
      <c r="C45" t="str">
        <f t="shared" si="1"/>
        <v>E-HC</v>
      </c>
      <c r="D45" s="30" t="s">
        <v>80</v>
      </c>
      <c r="E45" s="30" t="s">
        <v>82</v>
      </c>
      <c r="F45">
        <v>1</v>
      </c>
      <c r="G45">
        <v>2</v>
      </c>
      <c r="H45">
        <v>3</v>
      </c>
      <c r="I45">
        <v>4</v>
      </c>
      <c r="J45">
        <v>5</v>
      </c>
      <c r="K45">
        <v>6</v>
      </c>
      <c r="L45">
        <v>7</v>
      </c>
      <c r="M45" s="4">
        <v>5</v>
      </c>
    </row>
    <row r="46" spans="1:21" x14ac:dyDescent="0.35">
      <c r="A46">
        <v>45</v>
      </c>
      <c r="B46" t="s">
        <v>71</v>
      </c>
      <c r="C46" t="str">
        <f t="shared" si="1"/>
        <v>E-HC</v>
      </c>
      <c r="D46" s="30" t="s">
        <v>80</v>
      </c>
      <c r="E46" s="30" t="s">
        <v>83</v>
      </c>
      <c r="F46">
        <v>1</v>
      </c>
      <c r="G46">
        <v>2</v>
      </c>
      <c r="H46">
        <v>3</v>
      </c>
      <c r="I46">
        <v>4</v>
      </c>
      <c r="J46">
        <v>5</v>
      </c>
      <c r="K46">
        <v>6</v>
      </c>
      <c r="L46">
        <v>7</v>
      </c>
      <c r="M46" s="4">
        <v>2</v>
      </c>
    </row>
    <row r="47" spans="1:21" x14ac:dyDescent="0.35">
      <c r="A47">
        <v>46</v>
      </c>
      <c r="B47" t="s">
        <v>71</v>
      </c>
      <c r="C47" t="str">
        <f t="shared" si="1"/>
        <v>E-AE</v>
      </c>
      <c r="D47" s="30" t="s">
        <v>84</v>
      </c>
      <c r="E47" s="30" t="s">
        <v>85</v>
      </c>
      <c r="F47">
        <v>1</v>
      </c>
      <c r="G47">
        <v>2</v>
      </c>
      <c r="H47">
        <v>3</v>
      </c>
      <c r="I47">
        <v>4</v>
      </c>
      <c r="J47">
        <v>5</v>
      </c>
      <c r="K47">
        <v>6</v>
      </c>
      <c r="L47">
        <v>7</v>
      </c>
      <c r="M47" s="4">
        <v>4</v>
      </c>
      <c r="N47">
        <f>AVERAGE(M47:M49)</f>
        <v>3.6666666666666665</v>
      </c>
    </row>
    <row r="48" spans="1:21" x14ac:dyDescent="0.35">
      <c r="A48">
        <v>47</v>
      </c>
      <c r="B48" t="s">
        <v>71</v>
      </c>
      <c r="C48" t="str">
        <f t="shared" si="1"/>
        <v>E-AE</v>
      </c>
      <c r="D48" s="30" t="s">
        <v>84</v>
      </c>
      <c r="E48" s="30" t="s">
        <v>86</v>
      </c>
      <c r="F48">
        <v>1</v>
      </c>
      <c r="G48">
        <v>2</v>
      </c>
      <c r="H48">
        <v>3</v>
      </c>
      <c r="I48">
        <v>4</v>
      </c>
      <c r="J48">
        <v>5</v>
      </c>
      <c r="K48">
        <v>6</v>
      </c>
      <c r="L48">
        <v>7</v>
      </c>
      <c r="M48" s="4">
        <v>5</v>
      </c>
    </row>
    <row r="49" spans="1:21" x14ac:dyDescent="0.35">
      <c r="A49">
        <v>48</v>
      </c>
      <c r="B49" t="s">
        <v>71</v>
      </c>
      <c r="C49" t="str">
        <f t="shared" si="1"/>
        <v>E-AE</v>
      </c>
      <c r="D49" s="30" t="s">
        <v>84</v>
      </c>
      <c r="E49" s="30" t="s">
        <v>87</v>
      </c>
      <c r="F49">
        <v>1</v>
      </c>
      <c r="G49">
        <v>2</v>
      </c>
      <c r="H49">
        <v>3</v>
      </c>
      <c r="I49">
        <v>4</v>
      </c>
      <c r="J49">
        <v>5</v>
      </c>
      <c r="K49">
        <v>6</v>
      </c>
      <c r="L49">
        <v>7</v>
      </c>
      <c r="M49" s="4">
        <v>2</v>
      </c>
    </row>
    <row r="50" spans="1:21" x14ac:dyDescent="0.35">
      <c r="A50">
        <v>49</v>
      </c>
      <c r="B50" t="s">
        <v>71</v>
      </c>
      <c r="C50" t="str">
        <f t="shared" si="1"/>
        <v>E-GR</v>
      </c>
      <c r="D50" s="30" t="s">
        <v>88</v>
      </c>
      <c r="E50" s="30" t="s">
        <v>89</v>
      </c>
      <c r="F50">
        <v>1</v>
      </c>
      <c r="G50">
        <v>2</v>
      </c>
      <c r="H50">
        <v>3</v>
      </c>
      <c r="I50">
        <v>4</v>
      </c>
      <c r="J50">
        <v>5</v>
      </c>
      <c r="K50">
        <v>6</v>
      </c>
      <c r="L50">
        <v>7</v>
      </c>
      <c r="M50" s="4">
        <v>4</v>
      </c>
      <c r="N50">
        <f>AVERAGE(M50:M52)</f>
        <v>3.6666666666666665</v>
      </c>
    </row>
    <row r="51" spans="1:21" x14ac:dyDescent="0.35">
      <c r="A51">
        <v>50</v>
      </c>
      <c r="B51" t="s">
        <v>71</v>
      </c>
      <c r="C51" t="str">
        <f t="shared" si="1"/>
        <v>E-GR</v>
      </c>
      <c r="D51" s="30" t="s">
        <v>88</v>
      </c>
      <c r="E51" s="30" t="s">
        <v>90</v>
      </c>
      <c r="F51">
        <v>1</v>
      </c>
      <c r="G51">
        <v>2</v>
      </c>
      <c r="H51">
        <v>3</v>
      </c>
      <c r="I51">
        <v>4</v>
      </c>
      <c r="J51">
        <v>5</v>
      </c>
      <c r="K51">
        <v>6</v>
      </c>
      <c r="L51">
        <v>7</v>
      </c>
      <c r="M51" s="4">
        <v>5</v>
      </c>
    </row>
    <row r="52" spans="1:21" x14ac:dyDescent="0.35">
      <c r="A52">
        <v>51</v>
      </c>
      <c r="B52" t="s">
        <v>71</v>
      </c>
      <c r="C52" t="str">
        <f t="shared" si="1"/>
        <v>E-GR</v>
      </c>
      <c r="D52" s="30" t="s">
        <v>88</v>
      </c>
      <c r="E52" s="30" t="s">
        <v>91</v>
      </c>
      <c r="F52">
        <v>1</v>
      </c>
      <c r="G52">
        <v>2</v>
      </c>
      <c r="H52">
        <v>3</v>
      </c>
      <c r="I52">
        <v>4</v>
      </c>
      <c r="J52">
        <v>5</v>
      </c>
      <c r="K52">
        <v>6</v>
      </c>
      <c r="L52">
        <v>7</v>
      </c>
      <c r="M52" s="4">
        <v>2</v>
      </c>
    </row>
    <row r="53" spans="1:21" x14ac:dyDescent="0.35">
      <c r="A53">
        <v>52</v>
      </c>
      <c r="B53" t="s">
        <v>71</v>
      </c>
      <c r="C53" t="str">
        <f t="shared" si="1"/>
        <v>E-PW</v>
      </c>
      <c r="D53" s="30" t="s">
        <v>92</v>
      </c>
      <c r="E53" s="30" t="s">
        <v>93</v>
      </c>
      <c r="F53">
        <v>1</v>
      </c>
      <c r="G53">
        <v>2</v>
      </c>
      <c r="H53">
        <v>3</v>
      </c>
      <c r="I53">
        <v>4</v>
      </c>
      <c r="J53">
        <v>5</v>
      </c>
      <c r="K53">
        <v>6</v>
      </c>
      <c r="L53">
        <v>7</v>
      </c>
      <c r="M53" s="4">
        <v>4</v>
      </c>
      <c r="N53">
        <f>AVERAGE(M53:M55)</f>
        <v>3.6666666666666665</v>
      </c>
    </row>
    <row r="54" spans="1:21" x14ac:dyDescent="0.35">
      <c r="A54">
        <v>53</v>
      </c>
      <c r="B54" t="s">
        <v>71</v>
      </c>
      <c r="C54" t="str">
        <f t="shared" si="1"/>
        <v>E-PW</v>
      </c>
      <c r="D54" s="30" t="s">
        <v>92</v>
      </c>
      <c r="E54" s="30" t="s">
        <v>94</v>
      </c>
      <c r="F54">
        <v>1</v>
      </c>
      <c r="G54">
        <v>2</v>
      </c>
      <c r="H54">
        <v>3</v>
      </c>
      <c r="I54">
        <v>4</v>
      </c>
      <c r="J54">
        <v>5</v>
      </c>
      <c r="K54">
        <v>6</v>
      </c>
      <c r="L54">
        <v>7</v>
      </c>
      <c r="M54" s="4">
        <v>5</v>
      </c>
    </row>
    <row r="55" spans="1:21" x14ac:dyDescent="0.35">
      <c r="A55">
        <v>54</v>
      </c>
      <c r="B55" t="s">
        <v>71</v>
      </c>
      <c r="C55" t="str">
        <f t="shared" si="1"/>
        <v>E-PW</v>
      </c>
      <c r="D55" s="30" t="s">
        <v>92</v>
      </c>
      <c r="E55" s="30" t="s">
        <v>95</v>
      </c>
      <c r="F55">
        <v>1</v>
      </c>
      <c r="G55">
        <v>2</v>
      </c>
      <c r="H55">
        <v>3</v>
      </c>
      <c r="I55">
        <v>4</v>
      </c>
      <c r="J55">
        <v>5</v>
      </c>
      <c r="K55">
        <v>6</v>
      </c>
      <c r="L55">
        <v>7</v>
      </c>
      <c r="M55" s="4">
        <v>2</v>
      </c>
    </row>
    <row r="56" spans="1:21" x14ac:dyDescent="0.35">
      <c r="A56">
        <v>55</v>
      </c>
      <c r="B56" t="s">
        <v>96</v>
      </c>
      <c r="C56" t="str">
        <f t="shared" si="1"/>
        <v>A-NC</v>
      </c>
      <c r="D56" s="30" t="s">
        <v>97</v>
      </c>
      <c r="E56" s="30" t="s">
        <v>98</v>
      </c>
      <c r="F56">
        <v>1</v>
      </c>
      <c r="G56">
        <v>2</v>
      </c>
      <c r="H56">
        <v>3</v>
      </c>
      <c r="I56">
        <v>4</v>
      </c>
      <c r="J56">
        <v>5</v>
      </c>
      <c r="K56">
        <v>6</v>
      </c>
      <c r="L56">
        <v>7</v>
      </c>
      <c r="M56" s="4">
        <v>4</v>
      </c>
      <c r="N56">
        <f>AVERAGE(M56:M58)</f>
        <v>3.6666666666666665</v>
      </c>
      <c r="O56">
        <f>AVERAGE(N56:N71)</f>
        <v>3.6666666666666665</v>
      </c>
      <c r="P56">
        <f>($O$56-Centroids!F6)^2</f>
        <v>3.3611111111111116</v>
      </c>
      <c r="Q56">
        <f>($O$56-Centroids!G6)^2</f>
        <v>5.4444444444444455</v>
      </c>
      <c r="R56">
        <f>($O$56-Centroids!H6)^2</f>
        <v>1.7777777777777781</v>
      </c>
      <c r="S56">
        <f>($O$56-Centroids!I6)^2</f>
        <v>0.11111111111111122</v>
      </c>
      <c r="T56">
        <f>($O$56-Centroids!J6)^2</f>
        <v>1.7777777777777781</v>
      </c>
      <c r="U56">
        <f>($O$56-Centroids!K6)^2</f>
        <v>0.11111111111111122</v>
      </c>
    </row>
    <row r="57" spans="1:21" x14ac:dyDescent="0.35">
      <c r="A57">
        <v>56</v>
      </c>
      <c r="B57" t="s">
        <v>96</v>
      </c>
      <c r="C57" t="str">
        <f t="shared" si="1"/>
        <v>A-NC</v>
      </c>
      <c r="D57" s="30" t="s">
        <v>97</v>
      </c>
      <c r="E57" s="30" t="s">
        <v>99</v>
      </c>
      <c r="F57">
        <v>1</v>
      </c>
      <c r="G57">
        <v>2</v>
      </c>
      <c r="H57">
        <v>3</v>
      </c>
      <c r="I57">
        <v>4</v>
      </c>
      <c r="J57">
        <v>5</v>
      </c>
      <c r="K57">
        <v>6</v>
      </c>
      <c r="L57">
        <v>7</v>
      </c>
      <c r="M57" s="4">
        <v>5</v>
      </c>
    </row>
    <row r="58" spans="1:21" x14ac:dyDescent="0.35">
      <c r="A58">
        <v>57</v>
      </c>
      <c r="B58" t="s">
        <v>96</v>
      </c>
      <c r="C58" t="str">
        <f t="shared" si="1"/>
        <v>A-NC</v>
      </c>
      <c r="D58" s="30" t="s">
        <v>97</v>
      </c>
      <c r="E58" s="30" t="s">
        <v>100</v>
      </c>
      <c r="F58">
        <v>1</v>
      </c>
      <c r="G58">
        <v>2</v>
      </c>
      <c r="H58">
        <v>3</v>
      </c>
      <c r="I58">
        <v>4</v>
      </c>
      <c r="J58">
        <v>5</v>
      </c>
      <c r="K58">
        <v>6</v>
      </c>
      <c r="L58">
        <v>7</v>
      </c>
      <c r="M58" s="4">
        <v>2</v>
      </c>
    </row>
    <row r="59" spans="1:21" x14ac:dyDescent="0.35">
      <c r="A59">
        <v>58</v>
      </c>
      <c r="B59" t="s">
        <v>96</v>
      </c>
      <c r="C59" t="str">
        <f t="shared" si="1"/>
        <v>A-WH</v>
      </c>
      <c r="D59" s="30" t="s">
        <v>101</v>
      </c>
      <c r="E59" s="30" t="s">
        <v>102</v>
      </c>
      <c r="F59">
        <v>1</v>
      </c>
      <c r="G59">
        <v>2</v>
      </c>
      <c r="H59">
        <v>3</v>
      </c>
      <c r="I59">
        <v>4</v>
      </c>
      <c r="J59">
        <v>5</v>
      </c>
      <c r="K59">
        <v>6</v>
      </c>
      <c r="L59">
        <v>7</v>
      </c>
      <c r="M59" s="4">
        <v>4</v>
      </c>
      <c r="N59">
        <f>AVERAGE(M59:M61)</f>
        <v>3.6666666666666665</v>
      </c>
    </row>
    <row r="60" spans="1:21" x14ac:dyDescent="0.35">
      <c r="A60">
        <v>59</v>
      </c>
      <c r="B60" t="s">
        <v>96</v>
      </c>
      <c r="C60" t="str">
        <f t="shared" si="1"/>
        <v>A-WH</v>
      </c>
      <c r="D60" s="30" t="s">
        <v>101</v>
      </c>
      <c r="E60" s="30" t="s">
        <v>103</v>
      </c>
      <c r="F60">
        <v>1</v>
      </c>
      <c r="G60">
        <v>2</v>
      </c>
      <c r="H60">
        <v>3</v>
      </c>
      <c r="I60">
        <v>4</v>
      </c>
      <c r="J60">
        <v>5</v>
      </c>
      <c r="K60">
        <v>6</v>
      </c>
      <c r="L60">
        <v>7</v>
      </c>
      <c r="M60" s="4">
        <v>5</v>
      </c>
    </row>
    <row r="61" spans="1:21" x14ac:dyDescent="0.35">
      <c r="A61">
        <v>60</v>
      </c>
      <c r="B61" t="s">
        <v>96</v>
      </c>
      <c r="C61" t="str">
        <f t="shared" si="1"/>
        <v>A-WH</v>
      </c>
      <c r="D61" s="30" t="s">
        <v>101</v>
      </c>
      <c r="E61" s="30" t="s">
        <v>104</v>
      </c>
      <c r="F61">
        <v>1</v>
      </c>
      <c r="G61">
        <v>2</v>
      </c>
      <c r="H61">
        <v>3</v>
      </c>
      <c r="I61">
        <v>4</v>
      </c>
      <c r="J61">
        <v>5</v>
      </c>
      <c r="K61">
        <v>6</v>
      </c>
      <c r="L61">
        <v>7</v>
      </c>
      <c r="M61" s="4">
        <v>2</v>
      </c>
    </row>
    <row r="62" spans="1:21" x14ac:dyDescent="0.35">
      <c r="A62">
        <v>61</v>
      </c>
      <c r="B62" t="s">
        <v>96</v>
      </c>
      <c r="C62" t="str">
        <f t="shared" si="1"/>
        <v>A-SE</v>
      </c>
      <c r="D62" s="30" t="s">
        <v>105</v>
      </c>
      <c r="E62" s="30" t="s">
        <v>106</v>
      </c>
      <c r="F62">
        <v>1</v>
      </c>
      <c r="G62">
        <v>2</v>
      </c>
      <c r="H62">
        <v>3</v>
      </c>
      <c r="I62">
        <v>4</v>
      </c>
      <c r="J62">
        <v>5</v>
      </c>
      <c r="K62">
        <v>6</v>
      </c>
      <c r="L62">
        <v>7</v>
      </c>
      <c r="M62" s="4">
        <v>4</v>
      </c>
      <c r="N62">
        <f>AVERAGE(M62:M64)</f>
        <v>3.6666666666666665</v>
      </c>
    </row>
    <row r="63" spans="1:21" x14ac:dyDescent="0.35">
      <c r="A63">
        <v>62</v>
      </c>
      <c r="B63" t="s">
        <v>96</v>
      </c>
      <c r="C63" t="str">
        <f t="shared" si="1"/>
        <v>A-SE</v>
      </c>
      <c r="D63" s="30" t="s">
        <v>105</v>
      </c>
      <c r="E63" s="30" t="s">
        <v>107</v>
      </c>
      <c r="F63">
        <v>1</v>
      </c>
      <c r="G63">
        <v>2</v>
      </c>
      <c r="H63">
        <v>3</v>
      </c>
      <c r="I63">
        <v>4</v>
      </c>
      <c r="J63">
        <v>5</v>
      </c>
      <c r="K63">
        <v>6</v>
      </c>
      <c r="L63">
        <v>7</v>
      </c>
      <c r="M63" s="4">
        <v>5</v>
      </c>
    </row>
    <row r="64" spans="1:21" x14ac:dyDescent="0.35">
      <c r="A64">
        <v>63</v>
      </c>
      <c r="B64" t="s">
        <v>96</v>
      </c>
      <c r="C64" t="str">
        <f t="shared" si="1"/>
        <v>A-SE</v>
      </c>
      <c r="D64" s="30" t="s">
        <v>105</v>
      </c>
      <c r="E64" s="30" t="s">
        <v>108</v>
      </c>
      <c r="F64">
        <v>1</v>
      </c>
      <c r="G64">
        <v>2</v>
      </c>
      <c r="H64">
        <v>3</v>
      </c>
      <c r="I64">
        <v>4</v>
      </c>
      <c r="J64">
        <v>5</v>
      </c>
      <c r="K64">
        <v>6</v>
      </c>
      <c r="L64">
        <v>7</v>
      </c>
      <c r="M64" s="4">
        <v>2</v>
      </c>
    </row>
    <row r="65" spans="1:21" x14ac:dyDescent="0.35">
      <c r="A65">
        <v>64</v>
      </c>
      <c r="B65" t="s">
        <v>96</v>
      </c>
      <c r="C65" t="str">
        <f t="shared" si="1"/>
        <v>A-RG</v>
      </c>
      <c r="D65" s="30" t="s">
        <v>109</v>
      </c>
      <c r="E65" s="30" t="s">
        <v>110</v>
      </c>
      <c r="F65">
        <v>1</v>
      </c>
      <c r="G65">
        <v>2</v>
      </c>
      <c r="H65">
        <v>3</v>
      </c>
      <c r="I65">
        <v>4</v>
      </c>
      <c r="J65">
        <v>5</v>
      </c>
      <c r="K65">
        <v>6</v>
      </c>
      <c r="L65">
        <v>7</v>
      </c>
      <c r="M65" s="4">
        <v>4</v>
      </c>
      <c r="N65">
        <f>AVERAGE(M65:M67)</f>
        <v>3.6666666666666665</v>
      </c>
    </row>
    <row r="66" spans="1:21" x14ac:dyDescent="0.35">
      <c r="A66">
        <v>65</v>
      </c>
      <c r="B66" t="s">
        <v>96</v>
      </c>
      <c r="C66" t="str">
        <f t="shared" ref="C66:C91" si="2">LEFT(E66,4)</f>
        <v>A-RG</v>
      </c>
      <c r="D66" s="30" t="s">
        <v>109</v>
      </c>
      <c r="E66" s="30" t="s">
        <v>111</v>
      </c>
      <c r="F66">
        <v>1</v>
      </c>
      <c r="G66">
        <v>2</v>
      </c>
      <c r="H66">
        <v>3</v>
      </c>
      <c r="I66">
        <v>4</v>
      </c>
      <c r="J66">
        <v>5</v>
      </c>
      <c r="K66">
        <v>6</v>
      </c>
      <c r="L66">
        <v>7</v>
      </c>
      <c r="M66" s="4">
        <v>5</v>
      </c>
    </row>
    <row r="67" spans="1:21" x14ac:dyDescent="0.35">
      <c r="A67">
        <v>66</v>
      </c>
      <c r="B67" t="s">
        <v>96</v>
      </c>
      <c r="C67" t="str">
        <f t="shared" si="2"/>
        <v>A-RG</v>
      </c>
      <c r="D67" s="30" t="s">
        <v>109</v>
      </c>
      <c r="E67" s="30" t="s">
        <v>112</v>
      </c>
      <c r="F67">
        <v>1</v>
      </c>
      <c r="G67">
        <v>2</v>
      </c>
      <c r="H67">
        <v>3</v>
      </c>
      <c r="I67">
        <v>4</v>
      </c>
      <c r="J67">
        <v>5</v>
      </c>
      <c r="K67">
        <v>6</v>
      </c>
      <c r="L67">
        <v>7</v>
      </c>
      <c r="M67" s="4">
        <v>2</v>
      </c>
    </row>
    <row r="68" spans="1:21" x14ac:dyDescent="0.35">
      <c r="A68">
        <v>67</v>
      </c>
      <c r="B68" t="s">
        <v>96</v>
      </c>
      <c r="C68" t="str">
        <f t="shared" si="2"/>
        <v>A-CP</v>
      </c>
      <c r="D68" s="30" t="s">
        <v>113</v>
      </c>
      <c r="E68" s="30" t="s">
        <v>114</v>
      </c>
      <c r="F68">
        <v>1</v>
      </c>
      <c r="G68">
        <v>2</v>
      </c>
      <c r="H68">
        <v>3</v>
      </c>
      <c r="I68">
        <v>4</v>
      </c>
      <c r="J68">
        <v>5</v>
      </c>
      <c r="K68">
        <v>6</v>
      </c>
      <c r="L68">
        <v>7</v>
      </c>
      <c r="M68" s="4">
        <v>4</v>
      </c>
      <c r="N68">
        <f>AVERAGE(M68:M70)</f>
        <v>3.6666666666666665</v>
      </c>
    </row>
    <row r="69" spans="1:21" x14ac:dyDescent="0.35">
      <c r="A69">
        <v>68</v>
      </c>
      <c r="B69" t="s">
        <v>96</v>
      </c>
      <c r="C69" t="str">
        <f t="shared" si="2"/>
        <v>A-CP</v>
      </c>
      <c r="D69" s="30" t="s">
        <v>113</v>
      </c>
      <c r="E69" s="30" t="s">
        <v>115</v>
      </c>
      <c r="F69">
        <v>1</v>
      </c>
      <c r="G69">
        <v>2</v>
      </c>
      <c r="H69">
        <v>3</v>
      </c>
      <c r="I69">
        <v>4</v>
      </c>
      <c r="J69">
        <v>5</v>
      </c>
      <c r="K69">
        <v>6</v>
      </c>
      <c r="L69">
        <v>7</v>
      </c>
      <c r="M69" s="4">
        <v>5</v>
      </c>
    </row>
    <row r="70" spans="1:21" x14ac:dyDescent="0.35">
      <c r="A70">
        <v>69</v>
      </c>
      <c r="B70" t="s">
        <v>96</v>
      </c>
      <c r="C70" t="str">
        <f t="shared" si="2"/>
        <v>A-CP</v>
      </c>
      <c r="D70" s="30" t="s">
        <v>113</v>
      </c>
      <c r="E70" s="30" t="s">
        <v>116</v>
      </c>
      <c r="F70">
        <v>1</v>
      </c>
      <c r="G70">
        <v>2</v>
      </c>
      <c r="H70">
        <v>3</v>
      </c>
      <c r="I70">
        <v>4</v>
      </c>
      <c r="J70">
        <v>5</v>
      </c>
      <c r="K70">
        <v>6</v>
      </c>
      <c r="L70">
        <v>7</v>
      </c>
      <c r="M70" s="4">
        <v>2</v>
      </c>
    </row>
    <row r="71" spans="1:21" x14ac:dyDescent="0.35">
      <c r="A71">
        <v>70</v>
      </c>
      <c r="B71" t="s">
        <v>96</v>
      </c>
      <c r="C71" t="str">
        <f t="shared" si="2"/>
        <v>A-SR</v>
      </c>
      <c r="D71" s="30" t="s">
        <v>117</v>
      </c>
      <c r="E71" s="30" t="s">
        <v>118</v>
      </c>
      <c r="F71">
        <v>1</v>
      </c>
      <c r="G71">
        <v>2</v>
      </c>
      <c r="H71">
        <v>3</v>
      </c>
      <c r="I71">
        <v>4</v>
      </c>
      <c r="J71">
        <v>5</v>
      </c>
      <c r="K71">
        <v>6</v>
      </c>
      <c r="L71">
        <v>7</v>
      </c>
      <c r="M71" s="4">
        <v>4</v>
      </c>
      <c r="N71">
        <f>AVERAGE(M71:M73)</f>
        <v>3.6666666666666665</v>
      </c>
    </row>
    <row r="72" spans="1:21" x14ac:dyDescent="0.35">
      <c r="A72">
        <v>71</v>
      </c>
      <c r="B72" t="s">
        <v>96</v>
      </c>
      <c r="C72" t="str">
        <f t="shared" si="2"/>
        <v>A-SR</v>
      </c>
      <c r="D72" s="30" t="s">
        <v>117</v>
      </c>
      <c r="E72" s="30" t="s">
        <v>119</v>
      </c>
      <c r="F72">
        <v>1</v>
      </c>
      <c r="G72">
        <v>2</v>
      </c>
      <c r="H72">
        <v>3</v>
      </c>
      <c r="I72">
        <v>4</v>
      </c>
      <c r="J72">
        <v>5</v>
      </c>
      <c r="K72">
        <v>6</v>
      </c>
      <c r="L72">
        <v>7</v>
      </c>
      <c r="M72" s="4">
        <v>5</v>
      </c>
    </row>
    <row r="73" spans="1:21" x14ac:dyDescent="0.35">
      <c r="A73">
        <v>72</v>
      </c>
      <c r="B73" t="s">
        <v>96</v>
      </c>
      <c r="C73" t="str">
        <f t="shared" si="2"/>
        <v>A-SR</v>
      </c>
      <c r="D73" s="30" t="s">
        <v>117</v>
      </c>
      <c r="E73" s="30" t="s">
        <v>120</v>
      </c>
      <c r="F73">
        <v>1</v>
      </c>
      <c r="G73">
        <v>2</v>
      </c>
      <c r="H73">
        <v>3</v>
      </c>
      <c r="I73">
        <v>4</v>
      </c>
      <c r="J73">
        <v>5</v>
      </c>
      <c r="K73">
        <v>6</v>
      </c>
      <c r="L73">
        <v>7</v>
      </c>
      <c r="M73" s="4">
        <v>2</v>
      </c>
    </row>
    <row r="74" spans="1:21" x14ac:dyDescent="0.35">
      <c r="A74">
        <v>73</v>
      </c>
      <c r="B74" t="s">
        <v>121</v>
      </c>
      <c r="C74" t="str">
        <f t="shared" si="2"/>
        <v>N-HA</v>
      </c>
      <c r="D74" s="30" t="s">
        <v>122</v>
      </c>
      <c r="E74" s="30" t="s">
        <v>123</v>
      </c>
      <c r="F74">
        <v>1</v>
      </c>
      <c r="G74">
        <v>2</v>
      </c>
      <c r="H74">
        <v>3</v>
      </c>
      <c r="I74">
        <v>4</v>
      </c>
      <c r="J74">
        <v>5</v>
      </c>
      <c r="K74">
        <v>6</v>
      </c>
      <c r="L74">
        <v>7</v>
      </c>
      <c r="M74" s="4">
        <v>1</v>
      </c>
      <c r="N74">
        <f>AVERAGE(M74:M76)</f>
        <v>3.3333333333333335</v>
      </c>
      <c r="O74">
        <f>AVERAGE(N74:N89)</f>
        <v>3.3333333333333335</v>
      </c>
      <c r="P74">
        <f>($O$74-Centroids!F7)^2</f>
        <v>3.3611111111111116</v>
      </c>
      <c r="Q74">
        <f>($O$74-Centroids!G7)^2</f>
        <v>0.28444444444444478</v>
      </c>
      <c r="R74">
        <f>($O$74-Centroids!H7)^2</f>
        <v>7.1111111111111107</v>
      </c>
      <c r="S74">
        <f>($O$74-Centroids!I7)^2</f>
        <v>0.69444444444444464</v>
      </c>
      <c r="T74">
        <f>($O$74-Centroids!J7)^2</f>
        <v>1.7777777777777781</v>
      </c>
      <c r="U74">
        <f>($O$74-Centroids!K7)^2</f>
        <v>10.027777777777777</v>
      </c>
    </row>
    <row r="75" spans="1:21" x14ac:dyDescent="0.35">
      <c r="A75">
        <v>74</v>
      </c>
      <c r="B75" t="s">
        <v>121</v>
      </c>
      <c r="C75" t="str">
        <f t="shared" si="2"/>
        <v>N-HA</v>
      </c>
      <c r="D75" s="30" t="s">
        <v>122</v>
      </c>
      <c r="E75" s="30" t="s">
        <v>124</v>
      </c>
      <c r="F75">
        <v>1</v>
      </c>
      <c r="G75">
        <v>2</v>
      </c>
      <c r="H75">
        <v>3</v>
      </c>
      <c r="I75">
        <v>4</v>
      </c>
      <c r="J75">
        <v>5</v>
      </c>
      <c r="K75">
        <v>6</v>
      </c>
      <c r="L75">
        <v>7</v>
      </c>
      <c r="M75" s="4">
        <v>2</v>
      </c>
    </row>
    <row r="76" spans="1:21" x14ac:dyDescent="0.35">
      <c r="A76">
        <v>75</v>
      </c>
      <c r="B76" t="s">
        <v>121</v>
      </c>
      <c r="C76" t="str">
        <f t="shared" si="2"/>
        <v>N-HA</v>
      </c>
      <c r="D76" s="30" t="s">
        <v>122</v>
      </c>
      <c r="E76" s="30" t="s">
        <v>125</v>
      </c>
      <c r="F76">
        <v>1</v>
      </c>
      <c r="G76">
        <v>2</v>
      </c>
      <c r="H76">
        <v>3</v>
      </c>
      <c r="I76">
        <v>4</v>
      </c>
      <c r="J76">
        <v>5</v>
      </c>
      <c r="K76">
        <v>6</v>
      </c>
      <c r="L76">
        <v>7</v>
      </c>
      <c r="M76" s="4">
        <v>7</v>
      </c>
    </row>
    <row r="77" spans="1:21" x14ac:dyDescent="0.35">
      <c r="A77">
        <v>76</v>
      </c>
      <c r="B77" t="s">
        <v>121</v>
      </c>
      <c r="C77" t="str">
        <f t="shared" si="2"/>
        <v>N-EE</v>
      </c>
      <c r="D77" s="30" t="s">
        <v>126</v>
      </c>
      <c r="E77" s="30" t="s">
        <v>127</v>
      </c>
      <c r="F77">
        <v>1</v>
      </c>
      <c r="G77">
        <v>2</v>
      </c>
      <c r="H77">
        <v>3</v>
      </c>
      <c r="I77">
        <v>4</v>
      </c>
      <c r="J77">
        <v>5</v>
      </c>
      <c r="K77">
        <v>6</v>
      </c>
      <c r="L77">
        <v>7</v>
      </c>
      <c r="M77" s="4">
        <v>1</v>
      </c>
      <c r="N77">
        <f>AVERAGE(M77:M79)</f>
        <v>3.3333333333333335</v>
      </c>
    </row>
    <row r="78" spans="1:21" x14ac:dyDescent="0.35">
      <c r="A78">
        <v>77</v>
      </c>
      <c r="B78" t="s">
        <v>121</v>
      </c>
      <c r="C78" t="str">
        <f t="shared" si="2"/>
        <v>N-EE</v>
      </c>
      <c r="D78" s="30" t="s">
        <v>126</v>
      </c>
      <c r="E78" s="30" t="s">
        <v>128</v>
      </c>
      <c r="F78">
        <v>1</v>
      </c>
      <c r="G78">
        <v>2</v>
      </c>
      <c r="H78">
        <v>3</v>
      </c>
      <c r="I78">
        <v>4</v>
      </c>
      <c r="J78">
        <v>5</v>
      </c>
      <c r="K78">
        <v>6</v>
      </c>
      <c r="L78">
        <v>7</v>
      </c>
      <c r="M78" s="4">
        <v>2</v>
      </c>
    </row>
    <row r="79" spans="1:21" x14ac:dyDescent="0.35">
      <c r="A79">
        <v>78</v>
      </c>
      <c r="B79" t="s">
        <v>121</v>
      </c>
      <c r="C79" t="str">
        <f t="shared" si="2"/>
        <v>N-EE</v>
      </c>
      <c r="D79" s="30" t="s">
        <v>126</v>
      </c>
      <c r="E79" s="30" t="s">
        <v>129</v>
      </c>
      <c r="F79">
        <v>1</v>
      </c>
      <c r="G79">
        <v>2</v>
      </c>
      <c r="H79">
        <v>3</v>
      </c>
      <c r="I79">
        <v>4</v>
      </c>
      <c r="J79">
        <v>5</v>
      </c>
      <c r="K79">
        <v>6</v>
      </c>
      <c r="L79">
        <v>7</v>
      </c>
      <c r="M79" s="4">
        <v>7</v>
      </c>
    </row>
    <row r="80" spans="1:21" x14ac:dyDescent="0.35">
      <c r="A80">
        <v>79</v>
      </c>
      <c r="B80" t="s">
        <v>121</v>
      </c>
      <c r="C80" t="str">
        <f t="shared" si="2"/>
        <v>N-SC</v>
      </c>
      <c r="D80" s="30" t="s">
        <v>130</v>
      </c>
      <c r="E80" s="30" t="s">
        <v>131</v>
      </c>
      <c r="F80">
        <v>1</v>
      </c>
      <c r="G80">
        <v>2</v>
      </c>
      <c r="H80">
        <v>3</v>
      </c>
      <c r="I80">
        <v>4</v>
      </c>
      <c r="J80">
        <v>5</v>
      </c>
      <c r="K80">
        <v>6</v>
      </c>
      <c r="L80">
        <v>7</v>
      </c>
      <c r="M80" s="4">
        <v>1</v>
      </c>
      <c r="N80">
        <f>AVERAGE(M80:M82)</f>
        <v>3.3333333333333335</v>
      </c>
    </row>
    <row r="81" spans="1:22" x14ac:dyDescent="0.35">
      <c r="A81">
        <v>80</v>
      </c>
      <c r="B81" t="s">
        <v>121</v>
      </c>
      <c r="C81" t="str">
        <f t="shared" si="2"/>
        <v>N-SC</v>
      </c>
      <c r="D81" s="30" t="s">
        <v>130</v>
      </c>
      <c r="E81" s="30" t="s">
        <v>132</v>
      </c>
      <c r="F81">
        <v>1</v>
      </c>
      <c r="G81">
        <v>2</v>
      </c>
      <c r="H81">
        <v>3</v>
      </c>
      <c r="I81">
        <v>4</v>
      </c>
      <c r="J81">
        <v>5</v>
      </c>
      <c r="K81">
        <v>6</v>
      </c>
      <c r="L81">
        <v>7</v>
      </c>
      <c r="M81" s="4">
        <v>2</v>
      </c>
    </row>
    <row r="82" spans="1:22" x14ac:dyDescent="0.35">
      <c r="A82">
        <v>81</v>
      </c>
      <c r="B82" t="s">
        <v>121</v>
      </c>
      <c r="C82" t="str">
        <f t="shared" si="2"/>
        <v>N-SC</v>
      </c>
      <c r="D82" s="30" t="s">
        <v>130</v>
      </c>
      <c r="E82" s="30" t="s">
        <v>133</v>
      </c>
      <c r="F82">
        <v>1</v>
      </c>
      <c r="G82">
        <v>2</v>
      </c>
      <c r="H82">
        <v>3</v>
      </c>
      <c r="I82">
        <v>4</v>
      </c>
      <c r="J82">
        <v>5</v>
      </c>
      <c r="K82">
        <v>6</v>
      </c>
      <c r="L82">
        <v>7</v>
      </c>
      <c r="M82" s="4">
        <v>7</v>
      </c>
    </row>
    <row r="83" spans="1:22" x14ac:dyDescent="0.35">
      <c r="A83">
        <v>82</v>
      </c>
      <c r="B83" t="s">
        <v>121</v>
      </c>
      <c r="C83" t="str">
        <f t="shared" si="2"/>
        <v>N-SW</v>
      </c>
      <c r="D83" s="30" t="s">
        <v>134</v>
      </c>
      <c r="E83" s="30" t="s">
        <v>135</v>
      </c>
      <c r="F83">
        <v>1</v>
      </c>
      <c r="G83">
        <v>2</v>
      </c>
      <c r="H83">
        <v>3</v>
      </c>
      <c r="I83">
        <v>4</v>
      </c>
      <c r="J83">
        <v>5</v>
      </c>
      <c r="K83">
        <v>6</v>
      </c>
      <c r="L83">
        <v>7</v>
      </c>
      <c r="M83" s="4">
        <v>1</v>
      </c>
      <c r="N83">
        <f>AVERAGE(M83:M85)</f>
        <v>3.3333333333333335</v>
      </c>
    </row>
    <row r="84" spans="1:22" x14ac:dyDescent="0.35">
      <c r="A84">
        <v>83</v>
      </c>
      <c r="B84" t="s">
        <v>121</v>
      </c>
      <c r="C84" t="str">
        <f t="shared" si="2"/>
        <v>N-SW</v>
      </c>
      <c r="D84" s="30" t="s">
        <v>134</v>
      </c>
      <c r="E84" s="30" t="s">
        <v>136</v>
      </c>
      <c r="F84">
        <v>1</v>
      </c>
      <c r="G84">
        <v>2</v>
      </c>
      <c r="H84">
        <v>3</v>
      </c>
      <c r="I84">
        <v>4</v>
      </c>
      <c r="J84">
        <v>5</v>
      </c>
      <c r="K84">
        <v>6</v>
      </c>
      <c r="L84">
        <v>7</v>
      </c>
      <c r="M84" s="4">
        <v>2</v>
      </c>
    </row>
    <row r="85" spans="1:22" x14ac:dyDescent="0.35">
      <c r="A85">
        <v>84</v>
      </c>
      <c r="B85" t="s">
        <v>121</v>
      </c>
      <c r="C85" t="str">
        <f t="shared" si="2"/>
        <v>N-SW</v>
      </c>
      <c r="D85" s="30" t="s">
        <v>134</v>
      </c>
      <c r="E85" s="30" t="s">
        <v>137</v>
      </c>
      <c r="F85">
        <v>1</v>
      </c>
      <c r="G85">
        <v>2</v>
      </c>
      <c r="H85">
        <v>3</v>
      </c>
      <c r="I85">
        <v>4</v>
      </c>
      <c r="J85">
        <v>5</v>
      </c>
      <c r="K85">
        <v>6</v>
      </c>
      <c r="L85">
        <v>7</v>
      </c>
      <c r="M85" s="4">
        <v>7</v>
      </c>
    </row>
    <row r="86" spans="1:22" x14ac:dyDescent="0.35">
      <c r="A86">
        <v>85</v>
      </c>
      <c r="B86" t="s">
        <v>121</v>
      </c>
      <c r="C86" t="str">
        <f t="shared" si="2"/>
        <v>N-WS</v>
      </c>
      <c r="D86" s="30" t="s">
        <v>138</v>
      </c>
      <c r="E86" s="30" t="s">
        <v>139</v>
      </c>
      <c r="F86">
        <v>1</v>
      </c>
      <c r="G86">
        <v>2</v>
      </c>
      <c r="H86">
        <v>3</v>
      </c>
      <c r="I86">
        <v>4</v>
      </c>
      <c r="J86">
        <v>5</v>
      </c>
      <c r="K86">
        <v>6</v>
      </c>
      <c r="L86">
        <v>7</v>
      </c>
      <c r="M86" s="4">
        <v>1</v>
      </c>
      <c r="N86">
        <f>AVERAGE(M86:M88)</f>
        <v>3.3333333333333335</v>
      </c>
    </row>
    <row r="87" spans="1:22" x14ac:dyDescent="0.35">
      <c r="A87">
        <v>86</v>
      </c>
      <c r="B87" t="s">
        <v>121</v>
      </c>
      <c r="C87" t="str">
        <f t="shared" si="2"/>
        <v>N-WS</v>
      </c>
      <c r="D87" s="30" t="s">
        <v>138</v>
      </c>
      <c r="E87" s="30" t="s">
        <v>140</v>
      </c>
      <c r="F87">
        <v>1</v>
      </c>
      <c r="G87">
        <v>2</v>
      </c>
      <c r="H87">
        <v>3</v>
      </c>
      <c r="I87">
        <v>4</v>
      </c>
      <c r="J87">
        <v>5</v>
      </c>
      <c r="K87">
        <v>6</v>
      </c>
      <c r="L87">
        <v>7</v>
      </c>
      <c r="M87" s="4">
        <v>2</v>
      </c>
    </row>
    <row r="88" spans="1:22" x14ac:dyDescent="0.35">
      <c r="A88">
        <v>87</v>
      </c>
      <c r="B88" t="s">
        <v>121</v>
      </c>
      <c r="C88" t="str">
        <f t="shared" si="2"/>
        <v>N-WS</v>
      </c>
      <c r="D88" s="30" t="s">
        <v>138</v>
      </c>
      <c r="E88" s="30" t="s">
        <v>141</v>
      </c>
      <c r="F88">
        <v>1</v>
      </c>
      <c r="G88">
        <v>2</v>
      </c>
      <c r="H88">
        <v>3</v>
      </c>
      <c r="I88">
        <v>4</v>
      </c>
      <c r="J88">
        <v>5</v>
      </c>
      <c r="K88">
        <v>6</v>
      </c>
      <c r="L88">
        <v>7</v>
      </c>
      <c r="M88" s="4">
        <v>7</v>
      </c>
    </row>
    <row r="89" spans="1:22" x14ac:dyDescent="0.35">
      <c r="A89">
        <v>88</v>
      </c>
      <c r="B89" t="s">
        <v>121</v>
      </c>
      <c r="C89" t="str">
        <f t="shared" si="2"/>
        <v>N-ER</v>
      </c>
      <c r="D89" s="30" t="s">
        <v>142</v>
      </c>
      <c r="E89" s="30" t="s">
        <v>143</v>
      </c>
      <c r="F89">
        <v>1</v>
      </c>
      <c r="G89">
        <v>2</v>
      </c>
      <c r="H89">
        <v>3</v>
      </c>
      <c r="I89">
        <v>4</v>
      </c>
      <c r="J89">
        <v>5</v>
      </c>
      <c r="K89">
        <v>6</v>
      </c>
      <c r="L89">
        <v>7</v>
      </c>
      <c r="M89" s="4">
        <v>1</v>
      </c>
      <c r="N89">
        <f>AVERAGE(M89:M91)</f>
        <v>3.3333333333333335</v>
      </c>
    </row>
    <row r="90" spans="1:22" x14ac:dyDescent="0.35">
      <c r="A90">
        <v>89</v>
      </c>
      <c r="B90" t="s">
        <v>121</v>
      </c>
      <c r="C90" t="str">
        <f t="shared" si="2"/>
        <v>N-ER</v>
      </c>
      <c r="D90" s="30" t="s">
        <v>142</v>
      </c>
      <c r="E90" s="30" t="s">
        <v>144</v>
      </c>
      <c r="F90">
        <v>1</v>
      </c>
      <c r="G90">
        <v>2</v>
      </c>
      <c r="H90">
        <v>3</v>
      </c>
      <c r="I90">
        <v>4</v>
      </c>
      <c r="J90">
        <v>5</v>
      </c>
      <c r="K90">
        <v>6</v>
      </c>
      <c r="L90">
        <v>7</v>
      </c>
      <c r="M90" s="4">
        <v>2</v>
      </c>
    </row>
    <row r="91" spans="1:22" x14ac:dyDescent="0.35">
      <c r="A91">
        <v>90</v>
      </c>
      <c r="B91" t="s">
        <v>121</v>
      </c>
      <c r="C91" t="str">
        <f t="shared" si="2"/>
        <v>N-ER</v>
      </c>
      <c r="D91" s="30" t="s">
        <v>142</v>
      </c>
      <c r="E91" s="30" t="s">
        <v>145</v>
      </c>
      <c r="F91">
        <v>1</v>
      </c>
      <c r="G91">
        <v>2</v>
      </c>
      <c r="H91">
        <v>3</v>
      </c>
      <c r="I91">
        <v>4</v>
      </c>
      <c r="J91">
        <v>5</v>
      </c>
      <c r="K91">
        <v>6</v>
      </c>
      <c r="L91">
        <v>7</v>
      </c>
      <c r="M91" s="4">
        <v>7</v>
      </c>
    </row>
    <row r="92" spans="1:22" x14ac:dyDescent="0.35">
      <c r="B92" s="1" t="s">
        <v>146</v>
      </c>
      <c r="P92" s="1">
        <f t="shared" ref="P92:U92" si="3">SQRT(SUM(P2:P91))</f>
        <v>3.3139436057697513</v>
      </c>
      <c r="Q92" s="1">
        <f t="shared" si="3"/>
        <v>3.9245665011848407</v>
      </c>
      <c r="R92" s="1">
        <f t="shared" si="3"/>
        <v>3.805989431876494</v>
      </c>
      <c r="S92" s="1">
        <f t="shared" si="3"/>
        <v>4.3461349368017652</v>
      </c>
      <c r="T92" s="1">
        <f t="shared" si="3"/>
        <v>2.3228335186912461</v>
      </c>
      <c r="U92" s="1">
        <f t="shared" si="3"/>
        <v>4.2784992176644785</v>
      </c>
      <c r="V92" s="64"/>
    </row>
    <row r="93" spans="1:22" x14ac:dyDescent="0.35">
      <c r="B93" s="1" t="s">
        <v>147</v>
      </c>
      <c r="P93">
        <v>1</v>
      </c>
    </row>
    <row r="94" spans="1:22" x14ac:dyDescent="0.35">
      <c r="B94" s="1" t="s">
        <v>148</v>
      </c>
      <c r="P94">
        <f t="shared" ref="P94:U94" si="4">EXP(-P92*$P$93)</f>
        <v>3.6372451937591352E-2</v>
      </c>
      <c r="Q94">
        <f t="shared" si="4"/>
        <v>1.9750696919686606E-2</v>
      </c>
      <c r="R94">
        <f t="shared" si="4"/>
        <v>2.2237184098847004E-2</v>
      </c>
      <c r="S94">
        <f t="shared" si="4"/>
        <v>1.2956794756703706E-2</v>
      </c>
      <c r="T94">
        <f t="shared" si="4"/>
        <v>9.7995519701208039E-2</v>
      </c>
      <c r="U94">
        <f t="shared" si="4"/>
        <v>1.3863452506260593E-2</v>
      </c>
    </row>
    <row r="95" spans="1:22" x14ac:dyDescent="0.35">
      <c r="B95" s="1" t="s">
        <v>149</v>
      </c>
      <c r="P95" s="8">
        <f t="shared" ref="P95:U95" si="5">P94/SUM($P$94:$U$94)</f>
        <v>0.17901934308149275</v>
      </c>
      <c r="Q95" s="8">
        <f t="shared" si="5"/>
        <v>9.7209745277296325E-2</v>
      </c>
      <c r="R95" s="8">
        <f t="shared" si="5"/>
        <v>0.10944783420673147</v>
      </c>
      <c r="S95" s="8">
        <f t="shared" si="5"/>
        <v>6.3771254403379371E-2</v>
      </c>
      <c r="T95" s="8">
        <f t="shared" si="5"/>
        <v>0.48231814539037865</v>
      </c>
      <c r="U95" s="8">
        <f t="shared" si="5"/>
        <v>6.8233677640721538E-2</v>
      </c>
    </row>
    <row r="96" spans="1:22" x14ac:dyDescent="0.35">
      <c r="P96" s="24"/>
    </row>
    <row r="97" spans="2:21" ht="25" customHeight="1" x14ac:dyDescent="0.35">
      <c r="B97" s="59" t="s">
        <v>365</v>
      </c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</row>
    <row r="98" spans="2:21" x14ac:dyDescent="0.35">
      <c r="B98" s="35" t="s">
        <v>150</v>
      </c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43">
        <v>7.1421000000000001</v>
      </c>
      <c r="Q98" s="39"/>
      <c r="R98" s="39"/>
      <c r="S98" s="39"/>
      <c r="T98" s="39"/>
      <c r="U98" s="39"/>
    </row>
    <row r="99" spans="2:21" x14ac:dyDescent="0.35">
      <c r="B99" s="35" t="s">
        <v>151</v>
      </c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2">
        <f>MAX(0, MIN(100, (1 - P92/$P$98) * 100))</f>
        <v>53.599871105560673</v>
      </c>
      <c r="Q99" s="32">
        <f t="shared" ref="Q99:U99" si="6">MAX(0, MIN(100, (1 - Q92/$P$98) * 100))</f>
        <v>45.050244309309015</v>
      </c>
      <c r="R99" s="32">
        <f t="shared" si="6"/>
        <v>46.710499266651354</v>
      </c>
      <c r="S99" s="32">
        <f t="shared" si="6"/>
        <v>39.147660536792181</v>
      </c>
      <c r="T99" s="32">
        <f t="shared" si="6"/>
        <v>67.476883287951068</v>
      </c>
      <c r="U99" s="32">
        <f t="shared" si="6"/>
        <v>40.094660986761902</v>
      </c>
    </row>
    <row r="100" spans="2:21" x14ac:dyDescent="0.35">
      <c r="B100" s="35" t="s">
        <v>152</v>
      </c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3" t="s">
        <v>153</v>
      </c>
      <c r="Q100" s="34" t="s">
        <v>154</v>
      </c>
      <c r="R100" s="34" t="s">
        <v>154</v>
      </c>
      <c r="S100" s="34" t="s">
        <v>154</v>
      </c>
      <c r="T100" s="33" t="s">
        <v>153</v>
      </c>
      <c r="U100" s="34" t="s">
        <v>154</v>
      </c>
    </row>
    <row r="101" spans="2:21" x14ac:dyDescent="0.35">
      <c r="B101" s="44" t="s">
        <v>155</v>
      </c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</row>
    <row r="103" spans="2:21" ht="25" customHeight="1" x14ac:dyDescent="0.35">
      <c r="B103" s="59" t="s">
        <v>366</v>
      </c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</row>
    <row r="104" spans="2:21" ht="15.5" x14ac:dyDescent="0.35">
      <c r="B104" s="35" t="s">
        <v>156</v>
      </c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50" t="s">
        <v>19</v>
      </c>
      <c r="Q104" s="46"/>
      <c r="R104" s="46"/>
      <c r="S104" s="46"/>
      <c r="T104" s="46"/>
      <c r="U104" s="46"/>
    </row>
    <row r="105" spans="2:21" x14ac:dyDescent="0.35">
      <c r="B105" s="35" t="s">
        <v>157</v>
      </c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47">
        <f>T92</f>
        <v>2.3228335186912461</v>
      </c>
      <c r="Q105" s="39"/>
      <c r="R105" s="39"/>
      <c r="S105" s="39"/>
      <c r="T105" s="39"/>
      <c r="U105" s="39"/>
    </row>
    <row r="106" spans="2:21" ht="15.5" x14ac:dyDescent="0.35">
      <c r="B106" s="35" t="s">
        <v>158</v>
      </c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45">
        <f>T99</f>
        <v>67.476883287951068</v>
      </c>
      <c r="Q106" s="46"/>
      <c r="R106" s="46"/>
      <c r="S106" s="46"/>
      <c r="T106" s="46"/>
      <c r="U106" s="46"/>
    </row>
    <row r="107" spans="2:21" x14ac:dyDescent="0.35">
      <c r="B107" s="35" t="s">
        <v>159</v>
      </c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41" t="s">
        <v>15</v>
      </c>
      <c r="Q107" s="39"/>
      <c r="R107" s="39"/>
      <c r="S107" s="39"/>
      <c r="T107" s="39"/>
      <c r="U107" s="39"/>
    </row>
    <row r="108" spans="2:21" x14ac:dyDescent="0.35">
      <c r="B108" s="35" t="s">
        <v>160</v>
      </c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47">
        <f>P92</f>
        <v>3.3139436057697513</v>
      </c>
      <c r="Q108" s="39"/>
      <c r="R108" s="39"/>
      <c r="S108" s="39"/>
      <c r="T108" s="39"/>
      <c r="U108" s="39"/>
    </row>
    <row r="109" spans="2:21" x14ac:dyDescent="0.35">
      <c r="B109" s="35" t="s">
        <v>161</v>
      </c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53">
        <f>P92/T92</f>
        <v>1.426681498739921</v>
      </c>
      <c r="Q109" s="39"/>
      <c r="R109" s="39"/>
      <c r="S109" s="39"/>
      <c r="T109" s="39"/>
      <c r="U109" s="39"/>
    </row>
    <row r="110" spans="2:21" x14ac:dyDescent="0.35">
      <c r="B110" s="35" t="s">
        <v>162</v>
      </c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48" t="s">
        <v>163</v>
      </c>
      <c r="Q110" s="49"/>
      <c r="R110" s="49"/>
      <c r="S110" s="49"/>
      <c r="T110" s="49"/>
      <c r="U110" s="49"/>
    </row>
    <row r="111" spans="2:21" x14ac:dyDescent="0.35">
      <c r="B111" s="44" t="s">
        <v>164</v>
      </c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</row>
    <row r="113" spans="2:21" ht="25" customHeight="1" x14ac:dyDescent="0.35">
      <c r="B113" s="61" t="s">
        <v>165</v>
      </c>
      <c r="C113" s="62"/>
      <c r="D113" s="62"/>
      <c r="E113" s="62"/>
      <c r="F113" s="62"/>
      <c r="G113" s="62"/>
      <c r="H113" s="62"/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3"/>
    </row>
    <row r="114" spans="2:21" ht="30" customHeight="1" x14ac:dyDescent="0.4">
      <c r="B114" s="35" t="s">
        <v>166</v>
      </c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54" t="s">
        <v>167</v>
      </c>
      <c r="Q114" s="46"/>
      <c r="R114" s="46"/>
      <c r="S114" s="46"/>
      <c r="T114" s="46"/>
      <c r="U114" s="46"/>
    </row>
    <row r="116" spans="2:21" ht="25" customHeight="1" x14ac:dyDescent="0.35">
      <c r="B116" s="59" t="s">
        <v>168</v>
      </c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</row>
    <row r="117" spans="2:21" x14ac:dyDescent="0.35">
      <c r="B117" s="37" t="s">
        <v>169</v>
      </c>
      <c r="C117" s="36"/>
      <c r="D117" s="36"/>
      <c r="E117" s="36"/>
      <c r="F117" s="36"/>
      <c r="G117" s="36"/>
      <c r="H117" s="36"/>
      <c r="I117" s="36"/>
      <c r="J117" s="37" t="s">
        <v>170</v>
      </c>
      <c r="K117" s="36"/>
      <c r="L117" s="36"/>
      <c r="M117" s="37" t="s">
        <v>171</v>
      </c>
      <c r="N117" s="36"/>
      <c r="O117" s="36"/>
      <c r="P117" s="37" t="s">
        <v>172</v>
      </c>
      <c r="Q117" s="36"/>
      <c r="R117" s="36"/>
      <c r="S117" s="37" t="s">
        <v>173</v>
      </c>
      <c r="T117" s="36"/>
      <c r="U117" s="36"/>
    </row>
    <row r="118" spans="2:21" x14ac:dyDescent="0.35">
      <c r="B118" s="40" t="s">
        <v>21</v>
      </c>
      <c r="C118" s="39"/>
      <c r="D118" s="39"/>
      <c r="E118" s="39"/>
      <c r="F118" s="39"/>
      <c r="G118" s="39"/>
      <c r="H118" s="39"/>
      <c r="I118" s="39"/>
      <c r="J118" s="42">
        <v>3.33</v>
      </c>
      <c r="K118" s="39"/>
      <c r="L118" s="39"/>
      <c r="M118" s="42">
        <v>3</v>
      </c>
      <c r="N118" s="39"/>
      <c r="O118" s="39"/>
      <c r="P118" s="65">
        <f>$O$2-M118</f>
        <v>0.33333333333333348</v>
      </c>
      <c r="Q118" s="66"/>
      <c r="R118" s="67"/>
      <c r="S118" s="38" t="s">
        <v>174</v>
      </c>
      <c r="T118" s="39"/>
      <c r="U118" s="39"/>
    </row>
    <row r="119" spans="2:21" x14ac:dyDescent="0.35">
      <c r="B119" s="40" t="s">
        <v>175</v>
      </c>
      <c r="C119" s="39"/>
      <c r="D119" s="39"/>
      <c r="E119" s="39"/>
      <c r="F119" s="39"/>
      <c r="G119" s="39"/>
      <c r="H119" s="39"/>
      <c r="I119" s="39"/>
      <c r="J119" s="42">
        <v>4.67</v>
      </c>
      <c r="K119" s="39"/>
      <c r="L119" s="39"/>
      <c r="M119" s="42">
        <v>5.8</v>
      </c>
      <c r="N119" s="39"/>
      <c r="O119" s="39"/>
      <c r="P119" s="65">
        <f>$O$20-M119</f>
        <v>-1.1333333333333329</v>
      </c>
      <c r="Q119" s="66"/>
      <c r="R119" s="67"/>
      <c r="S119" s="51" t="s">
        <v>176</v>
      </c>
      <c r="T119" s="52"/>
      <c r="U119" s="52"/>
    </row>
    <row r="120" spans="2:21" x14ac:dyDescent="0.35">
      <c r="B120" s="40" t="s">
        <v>177</v>
      </c>
      <c r="C120" s="39"/>
      <c r="D120" s="39"/>
      <c r="E120" s="39"/>
      <c r="F120" s="39"/>
      <c r="G120" s="39"/>
      <c r="H120" s="39"/>
      <c r="I120" s="39"/>
      <c r="J120" s="42">
        <v>3.67</v>
      </c>
      <c r="K120" s="39"/>
      <c r="L120" s="39"/>
      <c r="M120" s="42">
        <v>3</v>
      </c>
      <c r="N120" s="39"/>
      <c r="O120" s="39"/>
      <c r="P120" s="65">
        <f>$O$38-M120</f>
        <v>0.66666666666666652</v>
      </c>
      <c r="Q120" s="66"/>
      <c r="R120" s="67"/>
      <c r="S120" s="38" t="s">
        <v>174</v>
      </c>
      <c r="T120" s="39"/>
      <c r="U120" s="39"/>
    </row>
    <row r="121" spans="2:21" x14ac:dyDescent="0.35">
      <c r="B121" s="40" t="s">
        <v>96</v>
      </c>
      <c r="C121" s="39"/>
      <c r="D121" s="39"/>
      <c r="E121" s="39"/>
      <c r="F121" s="39"/>
      <c r="G121" s="39"/>
      <c r="H121" s="39"/>
      <c r="I121" s="39"/>
      <c r="J121" s="42">
        <v>3.67</v>
      </c>
      <c r="K121" s="39"/>
      <c r="L121" s="39"/>
      <c r="M121" s="42">
        <v>5</v>
      </c>
      <c r="N121" s="39"/>
      <c r="O121" s="39"/>
      <c r="P121" s="65">
        <f>$O$56-M121</f>
        <v>-1.3333333333333335</v>
      </c>
      <c r="Q121" s="66"/>
      <c r="R121" s="67"/>
      <c r="S121" s="51" t="s">
        <v>176</v>
      </c>
      <c r="T121" s="52"/>
      <c r="U121" s="52"/>
    </row>
    <row r="122" spans="2:21" x14ac:dyDescent="0.35">
      <c r="B122" s="40" t="s">
        <v>178</v>
      </c>
      <c r="C122" s="39"/>
      <c r="D122" s="39"/>
      <c r="E122" s="39"/>
      <c r="F122" s="39"/>
      <c r="G122" s="39"/>
      <c r="H122" s="39"/>
      <c r="I122" s="39"/>
      <c r="J122" s="42">
        <v>3.33</v>
      </c>
      <c r="K122" s="39"/>
      <c r="L122" s="39"/>
      <c r="M122" s="42">
        <v>2</v>
      </c>
      <c r="N122" s="39"/>
      <c r="O122" s="39"/>
      <c r="P122" s="65">
        <f>$O$74-M122</f>
        <v>1.3333333333333335</v>
      </c>
      <c r="Q122" s="66"/>
      <c r="R122" s="67"/>
      <c r="S122" s="51" t="s">
        <v>176</v>
      </c>
      <c r="T122" s="52"/>
      <c r="U122" s="52"/>
    </row>
    <row r="124" spans="2:21" x14ac:dyDescent="0.35">
      <c r="B124" s="44" t="s">
        <v>179</v>
      </c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Q124" t="str">
        <f>IF(P118&gt;0.8,"YES","NO")</f>
        <v>NO</v>
      </c>
    </row>
    <row r="125" spans="2:21" x14ac:dyDescent="0.35">
      <c r="Q125" t="str">
        <f>IF(P119&gt;0.8,"YES","NO")</f>
        <v>NO</v>
      </c>
    </row>
    <row r="126" spans="2:21" x14ac:dyDescent="0.35">
      <c r="Q126" t="str">
        <f>IF(P120&gt;0.8,"YES","NO")</f>
        <v>NO</v>
      </c>
    </row>
    <row r="127" spans="2:21" x14ac:dyDescent="0.35">
      <c r="Q127" t="str">
        <f>IF(P121&gt;0.8,"YES","NO")</f>
        <v>NO</v>
      </c>
    </row>
    <row r="128" spans="2:21" x14ac:dyDescent="0.35">
      <c r="Q128" t="str">
        <f>IF(P122&gt;0.8,"YES","NO")</f>
        <v>YES</v>
      </c>
    </row>
    <row r="129" spans="17:17" x14ac:dyDescent="0.35">
      <c r="Q129" s="31"/>
    </row>
    <row r="130" spans="17:17" x14ac:dyDescent="0.35">
      <c r="Q130" s="31"/>
    </row>
    <row r="131" spans="17:17" x14ac:dyDescent="0.35">
      <c r="Q131" s="31"/>
    </row>
  </sheetData>
  <mergeCells count="53">
    <mergeCell ref="B124:O124"/>
    <mergeCell ref="B104:O104"/>
    <mergeCell ref="B114:O114"/>
    <mergeCell ref="M119:O119"/>
    <mergeCell ref="S121:U121"/>
    <mergeCell ref="S122:U122"/>
    <mergeCell ref="S117:U117"/>
    <mergeCell ref="P105:U105"/>
    <mergeCell ref="M122:O122"/>
    <mergeCell ref="P117:R117"/>
    <mergeCell ref="B108:O108"/>
    <mergeCell ref="M118:O118"/>
    <mergeCell ref="P110:U110"/>
    <mergeCell ref="B118:I118"/>
    <mergeCell ref="J120:L120"/>
    <mergeCell ref="P104:U104"/>
    <mergeCell ref="S119:U119"/>
    <mergeCell ref="J122:L122"/>
    <mergeCell ref="P109:U109"/>
    <mergeCell ref="M117:O117"/>
    <mergeCell ref="P114:U114"/>
    <mergeCell ref="P119:R119"/>
    <mergeCell ref="B122:I122"/>
    <mergeCell ref="P120:R120"/>
    <mergeCell ref="B105:O105"/>
    <mergeCell ref="M120:O120"/>
    <mergeCell ref="P98:U98"/>
    <mergeCell ref="S118:U118"/>
    <mergeCell ref="B117:I117"/>
    <mergeCell ref="J118:L118"/>
    <mergeCell ref="P122:R122"/>
    <mergeCell ref="B120:I120"/>
    <mergeCell ref="B98:O98"/>
    <mergeCell ref="B111:O111"/>
    <mergeCell ref="B107:O107"/>
    <mergeCell ref="B101:O101"/>
    <mergeCell ref="P121:R121"/>
    <mergeCell ref="B119:I119"/>
    <mergeCell ref="B109:O109"/>
    <mergeCell ref="B100:O100"/>
    <mergeCell ref="B121:I121"/>
    <mergeCell ref="P107:U107"/>
    <mergeCell ref="J119:L119"/>
    <mergeCell ref="J121:L121"/>
    <mergeCell ref="P106:U106"/>
    <mergeCell ref="M121:O121"/>
    <mergeCell ref="P108:U108"/>
    <mergeCell ref="P118:R118"/>
    <mergeCell ref="B99:O99"/>
    <mergeCell ref="B110:O110"/>
    <mergeCell ref="J117:L117"/>
    <mergeCell ref="S120:U120"/>
    <mergeCell ref="B106:O10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4"/>
  <sheetViews>
    <sheetView zoomScale="85" zoomScaleNormal="100" workbookViewId="0">
      <pane xSplit="2" ySplit="2" topLeftCell="I3" activePane="bottomRight" state="frozen"/>
      <selection pane="topRight" activeCell="C1" sqref="C1"/>
      <selection pane="bottomLeft" activeCell="A3" sqref="A3"/>
      <selection pane="bottomRight" activeCell="P2" sqref="P2:P7"/>
    </sheetView>
  </sheetViews>
  <sheetFormatPr defaultRowHeight="14.5" x14ac:dyDescent="0.35"/>
  <cols>
    <col min="1" max="1" width="5.453125" bestFit="1" customWidth="1"/>
    <col min="2" max="2" width="35.08984375" bestFit="1" customWidth="1"/>
    <col min="3" max="3" width="9.54296875" customWidth="1"/>
    <col min="4" max="4" width="15.26953125" customWidth="1"/>
    <col min="5" max="5" width="13.453125" customWidth="1"/>
    <col min="6" max="6" width="20" customWidth="1"/>
    <col min="7" max="7" width="14.81640625" customWidth="1"/>
    <col min="8" max="8" width="14.6328125" customWidth="1"/>
    <col min="9" max="9" width="15.08984375" customWidth="1"/>
    <col min="10" max="10" width="17.81640625" customWidth="1"/>
    <col min="11" max="11" width="15.1796875" customWidth="1"/>
    <col min="12" max="12" width="20" bestFit="1" customWidth="1"/>
    <col min="13" max="13" width="14.81640625" bestFit="1" customWidth="1"/>
    <col min="14" max="14" width="14.6328125" bestFit="1" customWidth="1"/>
    <col min="15" max="15" width="15.08984375" bestFit="1" customWidth="1"/>
    <col min="16" max="16" width="17.81640625" bestFit="1" customWidth="1"/>
    <col min="17" max="17" width="15.1796875" bestFit="1" customWidth="1"/>
  </cols>
  <sheetData>
    <row r="1" spans="1:17" x14ac:dyDescent="0.35">
      <c r="C1" s="57" t="s">
        <v>324</v>
      </c>
      <c r="D1" s="56"/>
      <c r="E1" s="56"/>
      <c r="F1" s="55" t="s">
        <v>325</v>
      </c>
      <c r="G1" s="56"/>
      <c r="H1" s="56"/>
      <c r="I1" s="56"/>
      <c r="J1" s="56"/>
      <c r="K1" s="56"/>
      <c r="L1" s="58" t="s">
        <v>326</v>
      </c>
      <c r="M1" s="56"/>
      <c r="N1" s="56"/>
      <c r="O1" s="56"/>
      <c r="P1" s="56"/>
      <c r="Q1" s="56"/>
    </row>
    <row r="2" spans="1:17" s="17" customFormat="1" x14ac:dyDescent="0.35">
      <c r="A2" s="5" t="s">
        <v>0</v>
      </c>
      <c r="B2" s="5" t="s">
        <v>180</v>
      </c>
      <c r="C2" s="15" t="s">
        <v>327</v>
      </c>
      <c r="D2" s="15" t="s">
        <v>328</v>
      </c>
      <c r="E2" s="15" t="s">
        <v>329</v>
      </c>
      <c r="F2" s="16" t="s">
        <v>15</v>
      </c>
      <c r="G2" s="16" t="s">
        <v>16</v>
      </c>
      <c r="H2" s="16" t="s">
        <v>17</v>
      </c>
      <c r="I2" s="16" t="s">
        <v>18</v>
      </c>
      <c r="J2" s="16" t="s">
        <v>19</v>
      </c>
      <c r="K2" s="16" t="s">
        <v>20</v>
      </c>
      <c r="L2" s="22" t="s">
        <v>15</v>
      </c>
      <c r="M2" s="22" t="s">
        <v>16</v>
      </c>
      <c r="N2" s="22" t="s">
        <v>17</v>
      </c>
      <c r="O2" s="22" t="s">
        <v>18</v>
      </c>
      <c r="P2" s="22" t="s">
        <v>19</v>
      </c>
      <c r="Q2" s="22" t="s">
        <v>20</v>
      </c>
    </row>
    <row r="3" spans="1:17" x14ac:dyDescent="0.35">
      <c r="A3">
        <v>1</v>
      </c>
      <c r="B3" t="s">
        <v>21</v>
      </c>
      <c r="C3" s="9">
        <v>1</v>
      </c>
      <c r="D3" s="10">
        <v>0</v>
      </c>
      <c r="E3" s="11">
        <f>C3*(1+D3)</f>
        <v>1</v>
      </c>
      <c r="F3" s="12">
        <v>3.5</v>
      </c>
      <c r="G3" s="12">
        <v>4.5</v>
      </c>
      <c r="H3" s="12">
        <v>4.5</v>
      </c>
      <c r="I3" s="12">
        <v>6.5</v>
      </c>
      <c r="J3" s="12">
        <v>3</v>
      </c>
      <c r="K3" s="12">
        <v>2.5</v>
      </c>
      <c r="L3" s="7">
        <f>$E$5*F3</f>
        <v>3.5</v>
      </c>
      <c r="M3" s="7">
        <f t="shared" ref="M3:N7" si="0">$E$4*G3</f>
        <v>4.5</v>
      </c>
      <c r="N3" s="7">
        <f t="shared" si="0"/>
        <v>4.5</v>
      </c>
      <c r="O3" s="7">
        <f t="shared" ref="O3:P7" si="1">$E$6*I3</f>
        <v>6.5</v>
      </c>
      <c r="P3" s="7">
        <f t="shared" si="1"/>
        <v>3</v>
      </c>
      <c r="Q3" s="7">
        <f>$E$4*K3</f>
        <v>2.5</v>
      </c>
    </row>
    <row r="4" spans="1:17" x14ac:dyDescent="0.35">
      <c r="A4">
        <v>2</v>
      </c>
      <c r="B4" t="s">
        <v>330</v>
      </c>
      <c r="C4" s="9">
        <v>1</v>
      </c>
      <c r="D4" s="10">
        <v>0</v>
      </c>
      <c r="E4" s="11">
        <f>C4*(1+D4)</f>
        <v>1</v>
      </c>
      <c r="F4" s="12">
        <v>6.5</v>
      </c>
      <c r="G4" s="12">
        <v>5.2</v>
      </c>
      <c r="H4" s="12">
        <v>2.8</v>
      </c>
      <c r="I4" s="12">
        <v>2.5</v>
      </c>
      <c r="J4" s="12">
        <v>5.8</v>
      </c>
      <c r="K4" s="12">
        <v>2.5</v>
      </c>
      <c r="L4" s="7">
        <f>$E$5*F4</f>
        <v>6.5</v>
      </c>
      <c r="M4" s="7">
        <f t="shared" si="0"/>
        <v>5.2</v>
      </c>
      <c r="N4" s="7">
        <f t="shared" si="0"/>
        <v>2.8</v>
      </c>
      <c r="O4" s="7">
        <f t="shared" si="1"/>
        <v>2.5</v>
      </c>
      <c r="P4" s="7">
        <f t="shared" si="1"/>
        <v>5.8</v>
      </c>
      <c r="Q4" s="7">
        <f>$E$4*K4</f>
        <v>2.5</v>
      </c>
    </row>
    <row r="5" spans="1:17" x14ac:dyDescent="0.35">
      <c r="A5">
        <v>3</v>
      </c>
      <c r="B5" t="s">
        <v>71</v>
      </c>
      <c r="C5" s="9">
        <v>1</v>
      </c>
      <c r="D5" s="10">
        <v>0</v>
      </c>
      <c r="E5" s="11">
        <f>C5*(1+D5)</f>
        <v>1</v>
      </c>
      <c r="F5" s="12">
        <v>4.5999999999999996</v>
      </c>
      <c r="G5" s="12">
        <v>6.5</v>
      </c>
      <c r="H5" s="12">
        <v>2.8</v>
      </c>
      <c r="I5" s="12">
        <v>5.5</v>
      </c>
      <c r="J5" s="12">
        <v>3</v>
      </c>
      <c r="K5" s="12">
        <v>2</v>
      </c>
      <c r="L5" s="7">
        <f>$E$5*F5</f>
        <v>4.5999999999999996</v>
      </c>
      <c r="M5" s="7">
        <f t="shared" si="0"/>
        <v>6.5</v>
      </c>
      <c r="N5" s="7">
        <f t="shared" si="0"/>
        <v>2.8</v>
      </c>
      <c r="O5" s="7">
        <f t="shared" si="1"/>
        <v>5.5</v>
      </c>
      <c r="P5" s="7">
        <f t="shared" si="1"/>
        <v>3</v>
      </c>
      <c r="Q5" s="7">
        <f>$E$4*K5</f>
        <v>2</v>
      </c>
    </row>
    <row r="6" spans="1:17" x14ac:dyDescent="0.35">
      <c r="A6">
        <v>4</v>
      </c>
      <c r="B6" t="s">
        <v>96</v>
      </c>
      <c r="C6" s="9">
        <v>1</v>
      </c>
      <c r="D6" s="10">
        <v>0</v>
      </c>
      <c r="E6" s="11">
        <f>C6*(1+D6)</f>
        <v>1</v>
      </c>
      <c r="F6" s="12">
        <v>5.5</v>
      </c>
      <c r="G6" s="12">
        <v>6</v>
      </c>
      <c r="H6" s="12">
        <v>5</v>
      </c>
      <c r="I6" s="12">
        <v>4</v>
      </c>
      <c r="J6" s="12">
        <v>5</v>
      </c>
      <c r="K6" s="12">
        <v>4</v>
      </c>
      <c r="L6" s="7">
        <f>$E$5*F6</f>
        <v>5.5</v>
      </c>
      <c r="M6" s="7">
        <f t="shared" si="0"/>
        <v>6</v>
      </c>
      <c r="N6" s="7">
        <f t="shared" si="0"/>
        <v>5</v>
      </c>
      <c r="O6" s="7">
        <f t="shared" si="1"/>
        <v>4</v>
      </c>
      <c r="P6" s="7">
        <f t="shared" si="1"/>
        <v>5</v>
      </c>
      <c r="Q6" s="7">
        <f>$E$4*K6</f>
        <v>4</v>
      </c>
    </row>
    <row r="7" spans="1:17" x14ac:dyDescent="0.35">
      <c r="A7">
        <v>5</v>
      </c>
      <c r="B7" s="21" t="s">
        <v>121</v>
      </c>
      <c r="C7" s="9">
        <v>1</v>
      </c>
      <c r="D7" s="10">
        <v>0</v>
      </c>
      <c r="E7" s="11">
        <f>C7*(1+D7)</f>
        <v>1</v>
      </c>
      <c r="F7" s="12">
        <v>1.5</v>
      </c>
      <c r="G7" s="12">
        <v>2.8</v>
      </c>
      <c r="H7" s="12">
        <v>6</v>
      </c>
      <c r="I7" s="12">
        <v>2.5</v>
      </c>
      <c r="J7" s="12">
        <v>2</v>
      </c>
      <c r="K7" s="12">
        <v>6.5</v>
      </c>
      <c r="L7" s="7">
        <f>$E$5*F7</f>
        <v>1.5</v>
      </c>
      <c r="M7" s="7">
        <f t="shared" si="0"/>
        <v>2.8</v>
      </c>
      <c r="N7" s="7">
        <f t="shared" si="0"/>
        <v>6</v>
      </c>
      <c r="O7" s="7">
        <f t="shared" si="1"/>
        <v>2.5</v>
      </c>
      <c r="P7" s="7">
        <f t="shared" si="1"/>
        <v>2</v>
      </c>
      <c r="Q7" s="7">
        <f>$E$4*K7</f>
        <v>6.5</v>
      </c>
    </row>
    <row r="9" spans="1:17" x14ac:dyDescent="0.35">
      <c r="D9" s="3"/>
      <c r="F9" s="3"/>
      <c r="H9" s="3"/>
    </row>
    <row r="10" spans="1:17" x14ac:dyDescent="0.35">
      <c r="F10" s="3">
        <v>3</v>
      </c>
      <c r="G10" s="20"/>
      <c r="H10" s="28"/>
      <c r="I10" s="20"/>
    </row>
    <row r="11" spans="1:17" x14ac:dyDescent="0.35">
      <c r="D11" s="3"/>
      <c r="F11" s="3">
        <v>2.92</v>
      </c>
      <c r="G11" s="28"/>
      <c r="H11" s="20"/>
      <c r="I11" s="20"/>
    </row>
    <row r="12" spans="1:17" x14ac:dyDescent="0.35">
      <c r="F12">
        <v>3.12</v>
      </c>
      <c r="G12" s="28"/>
      <c r="H12" s="20"/>
      <c r="I12" s="20"/>
    </row>
    <row r="13" spans="1:17" x14ac:dyDescent="0.35">
      <c r="F13">
        <v>2.79</v>
      </c>
      <c r="G13" s="20"/>
      <c r="H13" s="28"/>
      <c r="I13" s="20"/>
    </row>
    <row r="14" spans="1:17" x14ac:dyDescent="0.35">
      <c r="F14">
        <v>5.17</v>
      </c>
      <c r="G14" s="28"/>
      <c r="H14" s="20"/>
      <c r="I14" s="20"/>
    </row>
  </sheetData>
  <mergeCells count="3">
    <mergeCell ref="F1:K1"/>
    <mergeCell ref="C1:E1"/>
    <mergeCell ref="L1:Q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F19"/>
  <sheetViews>
    <sheetView workbookViewId="0">
      <selection activeCell="B14" sqref="B14"/>
    </sheetView>
  </sheetViews>
  <sheetFormatPr defaultRowHeight="14.5" x14ac:dyDescent="0.35"/>
  <cols>
    <col min="2" max="2" width="31" bestFit="1" customWidth="1"/>
    <col min="3" max="3" width="57.6328125" bestFit="1" customWidth="1"/>
  </cols>
  <sheetData>
    <row r="2" spans="1:6" x14ac:dyDescent="0.35">
      <c r="A2">
        <v>1</v>
      </c>
      <c r="B2" t="s">
        <v>331</v>
      </c>
      <c r="C2" t="s">
        <v>332</v>
      </c>
    </row>
    <row r="3" spans="1:6" x14ac:dyDescent="0.35">
      <c r="A3">
        <v>2</v>
      </c>
      <c r="B3" t="s">
        <v>333</v>
      </c>
      <c r="C3" t="s">
        <v>334</v>
      </c>
    </row>
    <row r="4" spans="1:6" x14ac:dyDescent="0.35">
      <c r="A4">
        <v>3</v>
      </c>
      <c r="B4" t="s">
        <v>335</v>
      </c>
      <c r="C4" t="s">
        <v>336</v>
      </c>
    </row>
    <row r="5" spans="1:6" x14ac:dyDescent="0.35">
      <c r="A5">
        <v>4</v>
      </c>
      <c r="B5" t="s">
        <v>337</v>
      </c>
      <c r="C5" t="s">
        <v>338</v>
      </c>
    </row>
    <row r="6" spans="1:6" x14ac:dyDescent="0.35">
      <c r="A6">
        <v>5</v>
      </c>
      <c r="B6" t="s">
        <v>339</v>
      </c>
      <c r="C6" t="s">
        <v>340</v>
      </c>
    </row>
    <row r="7" spans="1:6" x14ac:dyDescent="0.35">
      <c r="A7">
        <v>6</v>
      </c>
      <c r="B7" t="s">
        <v>341</v>
      </c>
      <c r="F7" t="s">
        <v>342</v>
      </c>
    </row>
    <row r="8" spans="1:6" x14ac:dyDescent="0.35">
      <c r="A8">
        <v>7</v>
      </c>
      <c r="B8" t="s">
        <v>343</v>
      </c>
      <c r="C8" t="s">
        <v>344</v>
      </c>
      <c r="F8" t="s">
        <v>345</v>
      </c>
    </row>
    <row r="9" spans="1:6" x14ac:dyDescent="0.35">
      <c r="A9">
        <v>8</v>
      </c>
      <c r="B9" t="s">
        <v>346</v>
      </c>
      <c r="C9" t="s">
        <v>347</v>
      </c>
    </row>
    <row r="10" spans="1:6" x14ac:dyDescent="0.35">
      <c r="A10">
        <v>9</v>
      </c>
      <c r="B10" t="s">
        <v>348</v>
      </c>
      <c r="C10" t="s">
        <v>349</v>
      </c>
    </row>
    <row r="11" spans="1:6" x14ac:dyDescent="0.35">
      <c r="A11">
        <v>10</v>
      </c>
      <c r="B11" t="s">
        <v>350</v>
      </c>
      <c r="C11" t="s">
        <v>351</v>
      </c>
    </row>
    <row r="12" spans="1:6" x14ac:dyDescent="0.35">
      <c r="A12">
        <v>11</v>
      </c>
      <c r="B12" t="s">
        <v>352</v>
      </c>
    </row>
    <row r="13" spans="1:6" x14ac:dyDescent="0.35">
      <c r="A13">
        <v>12</v>
      </c>
      <c r="B13" t="s">
        <v>353</v>
      </c>
    </row>
    <row r="14" spans="1:6" x14ac:dyDescent="0.35">
      <c r="A14">
        <v>13</v>
      </c>
      <c r="B14" t="s">
        <v>354</v>
      </c>
    </row>
    <row r="15" spans="1:6" x14ac:dyDescent="0.35">
      <c r="A15">
        <v>14</v>
      </c>
      <c r="B15" t="s">
        <v>355</v>
      </c>
      <c r="C15" t="s">
        <v>356</v>
      </c>
    </row>
    <row r="16" spans="1:6" x14ac:dyDescent="0.35">
      <c r="A16">
        <v>15</v>
      </c>
      <c r="B16" t="s">
        <v>357</v>
      </c>
      <c r="C16" t="s">
        <v>358</v>
      </c>
    </row>
    <row r="17" spans="1:5" x14ac:dyDescent="0.35">
      <c r="A17">
        <v>16</v>
      </c>
      <c r="B17" t="s">
        <v>359</v>
      </c>
      <c r="C17" t="s">
        <v>360</v>
      </c>
    </row>
    <row r="18" spans="1:5" ht="29" customHeight="1" x14ac:dyDescent="0.35">
      <c r="A18">
        <v>17</v>
      </c>
      <c r="B18" t="s">
        <v>361</v>
      </c>
      <c r="C18" s="13" t="s">
        <v>362</v>
      </c>
      <c r="E18" s="14"/>
    </row>
    <row r="19" spans="1:5" ht="29" customHeight="1" x14ac:dyDescent="0.35">
      <c r="A19">
        <v>18</v>
      </c>
      <c r="B19" t="s">
        <v>363</v>
      </c>
      <c r="C19" s="13" t="s">
        <v>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Factor list</vt:lpstr>
      <vt:lpstr>Questionnaire</vt:lpstr>
      <vt:lpstr>Assessment Engine</vt:lpstr>
      <vt:lpstr>Centroids</vt:lpstr>
      <vt:lpstr>Tech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Rajendran, Suraj</dc:creator>
  <cp:lastModifiedBy>Suraj Rajendran</cp:lastModifiedBy>
  <dcterms:created xsi:type="dcterms:W3CDTF">2025-06-24T09:40:31Z</dcterms:created>
  <dcterms:modified xsi:type="dcterms:W3CDTF">2026-06-11T10:14:55Z</dcterms:modified>
</cp:coreProperties>
</file>